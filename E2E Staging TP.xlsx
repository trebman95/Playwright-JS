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chart8.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rebm\Desktop\"/>
    </mc:Choice>
  </mc:AlternateContent>
  <xr:revisionPtr revIDLastSave="0" documentId="13_ncr:1_{5C34CF41-73E0-4EAA-8E9C-30D15F64EBEF}" xr6:coauthVersionLast="47" xr6:coauthVersionMax="47" xr10:uidLastSave="{00000000-0000-0000-0000-000000000000}"/>
  <bookViews>
    <workbookView xWindow="-98" yWindow="-98" windowWidth="21795" windowHeight="14235" activeTab="4" xr2:uid="{00000000-000D-0000-FFFF-FFFF00000000}"/>
  </bookViews>
  <sheets>
    <sheet name="📈 Dashboard" sheetId="1" r:id="rId1"/>
    <sheet name="TP Index" sheetId="2" state="hidden" r:id="rId2"/>
    <sheet name="Smoke suite status" sheetId="3" r:id="rId3"/>
    <sheet name="Core Stats" sheetId="5" state="hidden" r:id="rId4"/>
    <sheet name="Games" sheetId="7" r:id="rId5"/>
    <sheet name="Games BO" sheetId="8" r:id="rId6"/>
    <sheet name="Games_GCSC" sheetId="15" state="hidden" r:id="rId7"/>
    <sheet name="Issue tracker" sheetId="16" state="hidden" r:id="rId8"/>
    <sheet name="Test CardsBank" sheetId="17" state="hidden" r:id="rId9"/>
  </sheets>
  <definedNames>
    <definedName name="_xlnm._FilterDatabase" localSheetId="3" hidden="1">'Core Stats'!$A$1:$E$107</definedName>
    <definedName name="_xlnm._FilterDatabase" localSheetId="7" hidden="1">'Issue tracker'!$A$1:$G$996</definedName>
    <definedName name="_xlnm._FilterDatabase" localSheetId="2" hidden="1">'Smoke suite status'!$B$3:$G$271</definedName>
  </definedNames>
  <calcPr calcId="191029"/>
  <pivotCaches>
    <pivotCache cacheId="5" r:id="rId10"/>
  </pivotCaches>
</workbook>
</file>

<file path=xl/calcChain.xml><?xml version="1.0" encoding="utf-8"?>
<calcChain xmlns="http://schemas.openxmlformats.org/spreadsheetml/2006/main">
  <c r="C188" i="16" l="1"/>
  <c r="C187" i="16"/>
  <c r="C186" i="16"/>
  <c r="C185" i="16"/>
  <c r="C184" i="16"/>
  <c r="C183" i="16"/>
  <c r="C182" i="16"/>
  <c r="C181" i="16"/>
  <c r="C180" i="16"/>
  <c r="C179" i="16"/>
  <c r="C178" i="16"/>
  <c r="C177" i="16"/>
  <c r="C176" i="16"/>
  <c r="C175" i="16"/>
  <c r="C174" i="16"/>
  <c r="C173" i="16"/>
  <c r="C172" i="16"/>
  <c r="C171" i="16"/>
  <c r="C170" i="16"/>
  <c r="C169" i="16"/>
  <c r="C168" i="16"/>
  <c r="C167" i="16"/>
  <c r="C166" i="16"/>
  <c r="C165" i="16"/>
  <c r="C164" i="16"/>
  <c r="C163" i="16"/>
  <c r="C162" i="16"/>
  <c r="C161" i="16"/>
  <c r="C160" i="16"/>
  <c r="C159" i="16"/>
  <c r="C158" i="16"/>
  <c r="C157" i="16"/>
  <c r="C156" i="16"/>
  <c r="C155" i="16"/>
  <c r="C154" i="16"/>
  <c r="C153" i="16"/>
  <c r="C152" i="16"/>
  <c r="C151" i="16"/>
  <c r="C150" i="16"/>
  <c r="C149" i="16"/>
  <c r="C148" i="16"/>
  <c r="C147" i="16"/>
  <c r="C146" i="16"/>
  <c r="C145" i="16"/>
  <c r="C144" i="16"/>
  <c r="C143" i="16"/>
  <c r="C142" i="16"/>
  <c r="C141" i="16"/>
  <c r="C140" i="16"/>
  <c r="C139"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94" i="16"/>
  <c r="C93" i="16"/>
  <c r="C92" i="16"/>
  <c r="C91" i="16"/>
  <c r="C90" i="16"/>
  <c r="C89" i="16"/>
  <c r="C83" i="16"/>
  <c r="C82" i="16"/>
  <c r="C81" i="16"/>
  <c r="C80" i="16"/>
  <c r="C79" i="16"/>
  <c r="C78" i="16"/>
  <c r="C75" i="16"/>
  <c r="C74" i="16"/>
  <c r="C73" i="16"/>
  <c r="C72" i="16"/>
  <c r="C71" i="16"/>
  <c r="C70" i="16"/>
  <c r="C69" i="16"/>
  <c r="C64" i="16"/>
  <c r="C63" i="16"/>
  <c r="C62" i="16"/>
  <c r="C61" i="16"/>
  <c r="C60" i="16"/>
  <c r="C59" i="16"/>
  <c r="C58" i="16"/>
  <c r="C57" i="16"/>
  <c r="C56" i="16"/>
  <c r="C55" i="16"/>
  <c r="C45" i="16"/>
  <c r="C44" i="16"/>
  <c r="C43" i="16"/>
  <c r="C42" i="16"/>
  <c r="C41" i="16"/>
  <c r="C40" i="16"/>
  <c r="C39" i="16"/>
  <c r="C38" i="16"/>
  <c r="C37" i="16"/>
  <c r="C36" i="16"/>
  <c r="C35" i="16"/>
  <c r="C34" i="16"/>
  <c r="C33" i="16"/>
  <c r="C32" i="16"/>
  <c r="C26" i="16"/>
  <c r="C25" i="16"/>
  <c r="C24" i="16"/>
  <c r="C23" i="16"/>
  <c r="C22" i="16"/>
  <c r="C21" i="16"/>
  <c r="C20" i="16"/>
  <c r="C19" i="16"/>
  <c r="C11" i="16"/>
  <c r="C10" i="16"/>
  <c r="C9" i="16"/>
  <c r="C8" i="16"/>
  <c r="C7" i="16"/>
  <c r="C6" i="16"/>
  <c r="C5" i="16"/>
  <c r="C4" i="16"/>
  <c r="C3" i="16"/>
  <c r="C2" i="16"/>
  <c r="C7" i="15"/>
  <c r="G4" i="15" s="1"/>
  <c r="C71" i="1"/>
  <c r="C74" i="1"/>
  <c r="C7" i="8"/>
  <c r="G5" i="8" s="1"/>
  <c r="C7" i="7"/>
  <c r="G6" i="7" s="1"/>
  <c r="G7" i="7" s="1"/>
  <c r="E107" i="5"/>
  <c r="D107" i="5"/>
  <c r="C107" i="5"/>
  <c r="A107" i="5"/>
  <c r="E106" i="5"/>
  <c r="D106" i="5"/>
  <c r="C106" i="5"/>
  <c r="A106" i="5"/>
  <c r="E105" i="5"/>
  <c r="D105" i="5"/>
  <c r="C105" i="5"/>
  <c r="A105" i="5"/>
  <c r="E104" i="5"/>
  <c r="D104" i="5"/>
  <c r="C104" i="5"/>
  <c r="A104" i="5"/>
  <c r="E103" i="5"/>
  <c r="D103" i="5"/>
  <c r="C103" i="5"/>
  <c r="A103" i="5"/>
  <c r="E102" i="5"/>
  <c r="D102" i="5"/>
  <c r="C102" i="5"/>
  <c r="A102" i="5"/>
  <c r="E101" i="5"/>
  <c r="D101" i="5"/>
  <c r="C101" i="5"/>
  <c r="A101" i="5"/>
  <c r="E100" i="5"/>
  <c r="D100" i="5"/>
  <c r="C100" i="5"/>
  <c r="A100" i="5"/>
  <c r="E99" i="5"/>
  <c r="D99" i="5"/>
  <c r="C99" i="5"/>
  <c r="A99" i="5"/>
  <c r="E98" i="5"/>
  <c r="D98" i="5"/>
  <c r="C98" i="5"/>
  <c r="A98" i="5"/>
  <c r="E97" i="5"/>
  <c r="D97" i="5"/>
  <c r="C97" i="5"/>
  <c r="A97" i="5"/>
  <c r="E96" i="5"/>
  <c r="D96" i="5"/>
  <c r="C96" i="5"/>
  <c r="A96" i="5"/>
  <c r="E95" i="5"/>
  <c r="D95" i="5"/>
  <c r="C95" i="5"/>
  <c r="A95" i="5"/>
  <c r="E94" i="5"/>
  <c r="D94" i="5"/>
  <c r="C94" i="5"/>
  <c r="A94" i="5"/>
  <c r="E93" i="5"/>
  <c r="D93" i="5"/>
  <c r="C93" i="5"/>
  <c r="A93" i="5"/>
  <c r="E92" i="5"/>
  <c r="D92" i="5"/>
  <c r="C92" i="5"/>
  <c r="A92" i="5"/>
  <c r="E91" i="5"/>
  <c r="D91" i="5"/>
  <c r="C91" i="5"/>
  <c r="A91" i="5"/>
  <c r="E90" i="5"/>
  <c r="D90" i="5"/>
  <c r="C90" i="5"/>
  <c r="A90" i="5"/>
  <c r="E89" i="5"/>
  <c r="D89" i="5"/>
  <c r="C89" i="5"/>
  <c r="A89" i="5"/>
  <c r="E88" i="5"/>
  <c r="D88" i="5"/>
  <c r="C88" i="5"/>
  <c r="A88" i="5"/>
  <c r="E87" i="5"/>
  <c r="D87" i="5"/>
  <c r="C87" i="5"/>
  <c r="A87" i="5"/>
  <c r="E86" i="5"/>
  <c r="D86" i="5"/>
  <c r="C86" i="5"/>
  <c r="A86" i="5"/>
  <c r="E85" i="5"/>
  <c r="D85" i="5"/>
  <c r="C85" i="5"/>
  <c r="A85" i="5"/>
  <c r="E84" i="5"/>
  <c r="D84" i="5"/>
  <c r="C84" i="5"/>
  <c r="A84" i="5"/>
  <c r="E83" i="5"/>
  <c r="D83" i="5"/>
  <c r="C83" i="5"/>
  <c r="A83" i="5"/>
  <c r="E82" i="5"/>
  <c r="D82" i="5"/>
  <c r="C82" i="5"/>
  <c r="A82" i="5"/>
  <c r="E81" i="5"/>
  <c r="D81" i="5"/>
  <c r="C81" i="5"/>
  <c r="A81" i="5"/>
  <c r="E80" i="5"/>
  <c r="D80" i="5"/>
  <c r="C80" i="5"/>
  <c r="A80" i="5"/>
  <c r="E79" i="5"/>
  <c r="D79" i="5"/>
  <c r="C79" i="5"/>
  <c r="A79" i="5"/>
  <c r="E78" i="5"/>
  <c r="D78" i="5"/>
  <c r="C78" i="5"/>
  <c r="A78" i="5"/>
  <c r="E77" i="5"/>
  <c r="D77" i="5"/>
  <c r="C77" i="5"/>
  <c r="A77" i="5"/>
  <c r="E76" i="5"/>
  <c r="D76" i="5"/>
  <c r="C76" i="5"/>
  <c r="A76" i="5"/>
  <c r="E75" i="5"/>
  <c r="D75" i="5"/>
  <c r="C75" i="5"/>
  <c r="A75" i="5"/>
  <c r="E74" i="5"/>
  <c r="D74" i="5"/>
  <c r="C74" i="5"/>
  <c r="A74" i="5"/>
  <c r="E73" i="5"/>
  <c r="D73" i="5"/>
  <c r="C73" i="5"/>
  <c r="A73" i="5"/>
  <c r="E72" i="5"/>
  <c r="D72" i="5"/>
  <c r="C72" i="5"/>
  <c r="A72" i="5"/>
  <c r="E71" i="5"/>
  <c r="D71" i="5"/>
  <c r="C71" i="5"/>
  <c r="A71" i="5"/>
  <c r="E70" i="5"/>
  <c r="D70" i="5"/>
  <c r="C70" i="5"/>
  <c r="A70" i="5"/>
  <c r="E69" i="5"/>
  <c r="D69" i="5"/>
  <c r="C69" i="5"/>
  <c r="A69" i="5"/>
  <c r="E68" i="5"/>
  <c r="D68" i="5"/>
  <c r="C68" i="5"/>
  <c r="A68" i="5"/>
  <c r="E67" i="5"/>
  <c r="D67" i="5"/>
  <c r="C67" i="5"/>
  <c r="A67" i="5"/>
  <c r="E66" i="5"/>
  <c r="D66" i="5"/>
  <c r="C66" i="5"/>
  <c r="A66" i="5"/>
  <c r="E65" i="5"/>
  <c r="D65" i="5"/>
  <c r="C65" i="5"/>
  <c r="A65" i="5"/>
  <c r="E64" i="5"/>
  <c r="D64" i="5"/>
  <c r="C64" i="5"/>
  <c r="A64" i="5"/>
  <c r="E63" i="5"/>
  <c r="D63" i="5"/>
  <c r="C63" i="5"/>
  <c r="A63" i="5"/>
  <c r="E62" i="5"/>
  <c r="D62" i="5"/>
  <c r="C62" i="5"/>
  <c r="A62" i="5"/>
  <c r="E61" i="5"/>
  <c r="D61" i="5"/>
  <c r="C61" i="5"/>
  <c r="A61" i="5"/>
  <c r="E60" i="5"/>
  <c r="D60" i="5"/>
  <c r="C60" i="5"/>
  <c r="A60" i="5"/>
  <c r="E59" i="5"/>
  <c r="D59" i="5"/>
  <c r="C59" i="5"/>
  <c r="A59" i="5"/>
  <c r="E58" i="5"/>
  <c r="D58" i="5"/>
  <c r="C58" i="5"/>
  <c r="A58" i="5"/>
  <c r="E57" i="5"/>
  <c r="D57" i="5"/>
  <c r="C57" i="5"/>
  <c r="A57" i="5"/>
  <c r="E56" i="5"/>
  <c r="D56" i="5"/>
  <c r="C56" i="5"/>
  <c r="A56" i="5"/>
  <c r="E55" i="5"/>
  <c r="D55" i="5"/>
  <c r="C55" i="5"/>
  <c r="A55" i="5"/>
  <c r="E54" i="5"/>
  <c r="D54" i="5"/>
  <c r="C54" i="5"/>
  <c r="A54" i="5"/>
  <c r="E53" i="5"/>
  <c r="D53" i="5"/>
  <c r="C53" i="5"/>
  <c r="A53" i="5"/>
  <c r="E52" i="5"/>
  <c r="D52" i="5"/>
  <c r="C52" i="5"/>
  <c r="A52" i="5"/>
  <c r="E51" i="5"/>
  <c r="D51" i="5"/>
  <c r="C51" i="5"/>
  <c r="A51" i="5"/>
  <c r="E50" i="5"/>
  <c r="D50" i="5"/>
  <c r="C50" i="5"/>
  <c r="A50" i="5"/>
  <c r="E49" i="5"/>
  <c r="D49" i="5"/>
  <c r="C49" i="5"/>
  <c r="A49" i="5"/>
  <c r="E48" i="5"/>
  <c r="D48" i="5"/>
  <c r="C48" i="5"/>
  <c r="A48" i="5"/>
  <c r="E47" i="5"/>
  <c r="D47" i="5"/>
  <c r="C47" i="5"/>
  <c r="A47" i="5"/>
  <c r="E46" i="5"/>
  <c r="D46" i="5"/>
  <c r="C46" i="5"/>
  <c r="A46" i="5"/>
  <c r="E45" i="5"/>
  <c r="D45" i="5"/>
  <c r="C45" i="5"/>
  <c r="A45" i="5"/>
  <c r="E44" i="5"/>
  <c r="D44" i="5"/>
  <c r="C44" i="5"/>
  <c r="A44" i="5"/>
  <c r="E43" i="5"/>
  <c r="D43" i="5"/>
  <c r="C43" i="5"/>
  <c r="A43" i="5"/>
  <c r="E42" i="5"/>
  <c r="D42" i="5"/>
  <c r="C42" i="5"/>
  <c r="A42" i="5"/>
  <c r="E41" i="5"/>
  <c r="D41" i="5"/>
  <c r="C41" i="5"/>
  <c r="A41" i="5"/>
  <c r="E40" i="5"/>
  <c r="D40" i="5"/>
  <c r="C40" i="5"/>
  <c r="A40" i="5"/>
  <c r="E39" i="5"/>
  <c r="D39" i="5"/>
  <c r="C39" i="5"/>
  <c r="A39" i="5"/>
  <c r="E38" i="5"/>
  <c r="D38" i="5"/>
  <c r="C38" i="5"/>
  <c r="A38" i="5"/>
  <c r="E37" i="5"/>
  <c r="D37" i="5"/>
  <c r="C37" i="5"/>
  <c r="A37" i="5"/>
  <c r="E36" i="5"/>
  <c r="D36" i="5"/>
  <c r="C36" i="5"/>
  <c r="A36" i="5"/>
  <c r="E35" i="5"/>
  <c r="D35" i="5"/>
  <c r="C35" i="5"/>
  <c r="A35" i="5"/>
  <c r="E34" i="5"/>
  <c r="D34" i="5"/>
  <c r="C34" i="5"/>
  <c r="A34" i="5"/>
  <c r="E33" i="5"/>
  <c r="D33" i="5"/>
  <c r="C33" i="5"/>
  <c r="A33" i="5"/>
  <c r="E32" i="5"/>
  <c r="D32" i="5"/>
  <c r="C32" i="5"/>
  <c r="A32" i="5"/>
  <c r="E31" i="5"/>
  <c r="D31" i="5"/>
  <c r="C31" i="5"/>
  <c r="A31" i="5"/>
  <c r="E30" i="5"/>
  <c r="D30" i="5"/>
  <c r="C30" i="5"/>
  <c r="A30" i="5"/>
  <c r="E29" i="5"/>
  <c r="D29" i="5"/>
  <c r="C29" i="5"/>
  <c r="A29" i="5"/>
  <c r="E28" i="5"/>
  <c r="D28" i="5"/>
  <c r="C28" i="5"/>
  <c r="A28" i="5"/>
  <c r="E27" i="5"/>
  <c r="D27" i="5"/>
  <c r="C27" i="5"/>
  <c r="A27" i="5"/>
  <c r="E26" i="5"/>
  <c r="D26" i="5"/>
  <c r="C26" i="5"/>
  <c r="A26" i="5"/>
  <c r="E25" i="5"/>
  <c r="D25" i="5"/>
  <c r="C25" i="5"/>
  <c r="A25" i="5"/>
  <c r="E24" i="5"/>
  <c r="D24" i="5"/>
  <c r="C24" i="5"/>
  <c r="A24" i="5"/>
  <c r="E23" i="5"/>
  <c r="D23" i="5"/>
  <c r="C23" i="5"/>
  <c r="A23" i="5"/>
  <c r="E22" i="5"/>
  <c r="D22" i="5"/>
  <c r="C22" i="5"/>
  <c r="A22" i="5"/>
  <c r="E21" i="5"/>
  <c r="D21" i="5"/>
  <c r="C21" i="5"/>
  <c r="A21" i="5"/>
  <c r="E20" i="5"/>
  <c r="D20" i="5"/>
  <c r="C20" i="5"/>
  <c r="A20" i="5"/>
  <c r="E19" i="5"/>
  <c r="D19" i="5"/>
  <c r="C19" i="5"/>
  <c r="A19" i="5"/>
  <c r="E18" i="5"/>
  <c r="D18" i="5"/>
  <c r="C18" i="5"/>
  <c r="A18" i="5"/>
  <c r="E17" i="5"/>
  <c r="D17" i="5"/>
  <c r="C17" i="5"/>
  <c r="A17" i="5"/>
  <c r="E16" i="5"/>
  <c r="D16" i="5"/>
  <c r="C16" i="5"/>
  <c r="A16" i="5"/>
  <c r="E15" i="5"/>
  <c r="D15" i="5"/>
  <c r="C15" i="5"/>
  <c r="A15" i="5"/>
  <c r="E14" i="5"/>
  <c r="D14" i="5"/>
  <c r="C14" i="5"/>
  <c r="A14" i="5"/>
  <c r="E13" i="5"/>
  <c r="D13" i="5"/>
  <c r="C13" i="5"/>
  <c r="A13" i="5"/>
  <c r="E12" i="5"/>
  <c r="D12" i="5"/>
  <c r="C12" i="5"/>
  <c r="A12" i="5"/>
  <c r="E11" i="5"/>
  <c r="D11" i="5"/>
  <c r="C11" i="5"/>
  <c r="A11" i="5"/>
  <c r="E10" i="5"/>
  <c r="D10" i="5"/>
  <c r="C10" i="5"/>
  <c r="A10" i="5"/>
  <c r="E9" i="5"/>
  <c r="D9" i="5"/>
  <c r="C9" i="5"/>
  <c r="A9" i="5"/>
  <c r="E8" i="5"/>
  <c r="D8" i="5"/>
  <c r="C8" i="5"/>
  <c r="A8" i="5"/>
  <c r="E7" i="5"/>
  <c r="D7" i="5"/>
  <c r="C7" i="5"/>
  <c r="A7" i="5"/>
  <c r="E6" i="5"/>
  <c r="D6" i="5"/>
  <c r="C6" i="5"/>
  <c r="A6" i="5"/>
  <c r="E5" i="5"/>
  <c r="D5" i="5"/>
  <c r="C5" i="5"/>
  <c r="A5" i="5"/>
  <c r="E4" i="5"/>
  <c r="D4" i="5"/>
  <c r="C4" i="5"/>
  <c r="A4" i="5"/>
  <c r="E3" i="5"/>
  <c r="D3" i="5"/>
  <c r="C3" i="5"/>
  <c r="A3" i="5"/>
  <c r="E2" i="5"/>
  <c r="D2" i="5"/>
  <c r="C2" i="5"/>
  <c r="A2" i="5"/>
  <c r="F1" i="3" a="1"/>
  <c r="F1" i="3" s="1"/>
  <c r="D1" i="3"/>
  <c r="F95" i="1"/>
  <c r="C95" i="1"/>
  <c r="H95" i="1" s="1"/>
  <c r="F94" i="1"/>
  <c r="C94" i="1"/>
  <c r="H94" i="1" s="1"/>
  <c r="K94" i="1" s="1"/>
  <c r="F93" i="1"/>
  <c r="C93" i="1"/>
  <c r="H93" i="1" s="1"/>
  <c r="K93" i="1" s="1"/>
  <c r="F92" i="1"/>
  <c r="C92" i="1"/>
  <c r="H92" i="1" s="1"/>
  <c r="K92" i="1" s="1"/>
  <c r="J77" i="1"/>
  <c r="L77" i="1"/>
  <c r="C73" i="1"/>
  <c r="C70" i="1"/>
  <c r="C69" i="1"/>
  <c r="J68" i="1"/>
  <c r="H68" i="1"/>
  <c r="C65" i="1"/>
  <c r="C64" i="1"/>
  <c r="C63" i="1"/>
  <c r="C62" i="1"/>
  <c r="C61" i="1"/>
  <c r="C60" i="1"/>
  <c r="J59" i="1"/>
  <c r="H59" i="1"/>
  <c r="J50" i="1"/>
  <c r="E47" i="1"/>
  <c r="D47" i="1"/>
  <c r="C47" i="1"/>
  <c r="E46" i="1"/>
  <c r="D46" i="1"/>
  <c r="C46" i="1"/>
  <c r="E45" i="1"/>
  <c r="D45" i="1"/>
  <c r="C45" i="1"/>
  <c r="E44" i="1"/>
  <c r="D44" i="1"/>
  <c r="C44" i="1"/>
  <c r="E43" i="1"/>
  <c r="D43" i="1"/>
  <c r="C43" i="1"/>
  <c r="E42" i="1"/>
  <c r="D42" i="1"/>
  <c r="C42" i="1"/>
  <c r="J41" i="1"/>
  <c r="H41" i="1"/>
  <c r="L41" i="1" s="1"/>
  <c r="J2" i="7" l="1"/>
  <c r="L4" i="7"/>
  <c r="D53" i="1" s="1"/>
  <c r="G4" i="8"/>
  <c r="K4" i="7"/>
  <c r="L2" i="7"/>
  <c r="D51" i="1" s="1"/>
  <c r="G5" i="7"/>
  <c r="I3" i="7"/>
  <c r="K5" i="7"/>
  <c r="L59" i="1"/>
  <c r="L68" i="1"/>
  <c r="J3" i="7"/>
  <c r="L5" i="7"/>
  <c r="D54" i="1" s="1"/>
  <c r="K3" i="7"/>
  <c r="F6" i="7"/>
  <c r="F7" i="7" s="1"/>
  <c r="C56" i="1" s="1"/>
  <c r="I2" i="7"/>
  <c r="H6" i="7"/>
  <c r="F4" i="7"/>
  <c r="C53" i="1" s="1"/>
  <c r="H2" i="7"/>
  <c r="E51" i="1" s="1"/>
  <c r="J4" i="7"/>
  <c r="L6" i="7"/>
  <c r="L7" i="7" s="1"/>
  <c r="D56" i="1" s="1"/>
  <c r="F3" i="8"/>
  <c r="F2" i="7"/>
  <c r="G3" i="7"/>
  <c r="H4" i="7"/>
  <c r="E53" i="1" s="1"/>
  <c r="I5" i="7"/>
  <c r="J6" i="7"/>
  <c r="J7" i="7" s="1"/>
  <c r="H3" i="8"/>
  <c r="G6" i="8"/>
  <c r="G7" i="8" s="1"/>
  <c r="C72" i="1"/>
  <c r="H3" i="15"/>
  <c r="H5" i="8"/>
  <c r="H6" i="8" s="1"/>
  <c r="H7" i="8" s="1"/>
  <c r="F3" i="7"/>
  <c r="C52" i="1" s="1"/>
  <c r="G4" i="7"/>
  <c r="H5" i="7"/>
  <c r="E54" i="1" s="1"/>
  <c r="I6" i="7"/>
  <c r="I7" i="7" s="1"/>
  <c r="G3" i="8"/>
  <c r="F6" i="8"/>
  <c r="F7" i="8" s="1"/>
  <c r="D71" i="1"/>
  <c r="H50" i="1"/>
  <c r="L50" i="1" s="1"/>
  <c r="C90" i="1" s="1"/>
  <c r="K90" i="1" s="1"/>
  <c r="K95" i="1" s="1"/>
  <c r="D55" i="1"/>
  <c r="G2" i="7"/>
  <c r="H3" i="7"/>
  <c r="E52" i="1" s="1"/>
  <c r="I4" i="7"/>
  <c r="J5" i="7"/>
  <c r="K6" i="7"/>
  <c r="K7" i="7" s="1"/>
  <c r="F4" i="8"/>
  <c r="D72" i="1"/>
  <c r="F4" i="15"/>
  <c r="F2" i="8"/>
  <c r="H4" i="8"/>
  <c r="F2" i="15"/>
  <c r="H4" i="15"/>
  <c r="G2" i="8"/>
  <c r="F5" i="8"/>
  <c r="G2" i="15"/>
  <c r="F5" i="15"/>
  <c r="F6" i="15" s="1"/>
  <c r="F7" i="15" s="1"/>
  <c r="K2" i="7"/>
  <c r="L3" i="7"/>
  <c r="D52" i="1" s="1"/>
  <c r="F5" i="7"/>
  <c r="C54" i="1" s="1"/>
  <c r="H2" i="8"/>
  <c r="D70" i="1"/>
  <c r="H2" i="15"/>
  <c r="G5" i="15"/>
  <c r="G6" i="15" s="1"/>
  <c r="G7" i="15" s="1"/>
  <c r="F3" i="15"/>
  <c r="H5" i="15"/>
  <c r="H6" i="15" s="1"/>
  <c r="H7" i="15" s="1"/>
  <c r="G3" i="15"/>
  <c r="H7" i="7" l="1"/>
  <c r="E56" i="1" s="1"/>
  <c r="E55" i="1"/>
  <c r="C55" i="1"/>
  <c r="D73" i="1"/>
  <c r="D74" i="1"/>
  <c r="E92" i="1"/>
  <c r="E93" i="1"/>
  <c r="D69" i="1"/>
  <c r="E94" i="1"/>
  <c r="E95" i="1"/>
  <c r="C51" i="1"/>
  <c r="D93" i="1"/>
  <c r="D95" i="1"/>
  <c r="D92" i="1"/>
  <c r="D94" i="1"/>
</calcChain>
</file>

<file path=xl/sharedStrings.xml><?xml version="1.0" encoding="utf-8"?>
<sst xmlns="http://schemas.openxmlformats.org/spreadsheetml/2006/main" count="2484" uniqueCount="802">
  <si>
    <t>Raw Data hidden below v</t>
  </si>
  <si>
    <t>Raw Data per tab</t>
  </si>
  <si>
    <t xml:space="preserve">Don't touch </t>
  </si>
  <si>
    <r>
      <rPr>
        <sz val="10"/>
        <color theme="1"/>
        <rFont val="Arial"/>
      </rPr>
      <t xml:space="preserve">Staging </t>
    </r>
    <r>
      <rPr>
        <sz val="10"/>
        <color rgb="FF000000"/>
        <rFont val="Arial"/>
      </rPr>
      <t>Modo.us</t>
    </r>
  </si>
  <si>
    <t>Desktop</t>
  </si>
  <si>
    <t>Android</t>
  </si>
  <si>
    <t>iOS</t>
  </si>
  <si>
    <t>Test Cases</t>
  </si>
  <si>
    <t>Categories</t>
  </si>
  <si>
    <t>To Check</t>
  </si>
  <si>
    <t>Pass</t>
  </si>
  <si>
    <t>Acceptable</t>
  </si>
  <si>
    <t>Fail</t>
  </si>
  <si>
    <t>N/A</t>
  </si>
  <si>
    <t>Remaining</t>
  </si>
  <si>
    <t>Overall progress</t>
  </si>
  <si>
    <t>Givaways/Tournaments</t>
  </si>
  <si>
    <t>Back office</t>
  </si>
  <si>
    <t>Payments</t>
  </si>
  <si>
    <t>Fiserv</t>
  </si>
  <si>
    <t>Checkout</t>
  </si>
  <si>
    <t>Redemptions</t>
  </si>
  <si>
    <t>Bank account</t>
  </si>
  <si>
    <t>Prizeout</t>
  </si>
  <si>
    <t>Issues</t>
  </si>
  <si>
    <t>Total Issues</t>
  </si>
  <si>
    <t>Issues by status</t>
  </si>
  <si>
    <t>Total progress</t>
  </si>
  <si>
    <t>Total TCs</t>
  </si>
  <si>
    <t>Total -N/A</t>
  </si>
  <si>
    <r>
      <rPr>
        <sz val="10"/>
        <color theme="1"/>
        <rFont val="Arial"/>
      </rPr>
      <t xml:space="preserve">Staging </t>
    </r>
    <r>
      <rPr>
        <sz val="10"/>
        <color rgb="FF000000"/>
        <rFont val="Arial"/>
      </rPr>
      <t>Modo.us</t>
    </r>
  </si>
  <si>
    <t>Back Office (BO)</t>
  </si>
  <si>
    <t>Total</t>
  </si>
  <si>
    <t>Total tests only desktop</t>
  </si>
  <si>
    <t>Staging Modo.us</t>
  </si>
  <si>
    <t>Results</t>
  </si>
  <si>
    <t>Games</t>
  </si>
  <si>
    <t>Results 2</t>
  </si>
  <si>
    <t>Results 3</t>
  </si>
  <si>
    <t>Cohorts</t>
  </si>
  <si>
    <t>Results 4</t>
  </si>
  <si>
    <t>Results 5</t>
  </si>
  <si>
    <t>Results 6</t>
  </si>
  <si>
    <t>Geoblock page</t>
  </si>
  <si>
    <t>Giveaways</t>
  </si>
  <si>
    <t>Players</t>
  </si>
  <si>
    <t>Tournament cohorts</t>
  </si>
  <si>
    <t>No 3DS - Debit card</t>
  </si>
  <si>
    <t>Bank account first redemption - Manual approval (Sent)</t>
  </si>
  <si>
    <t>Landing page</t>
  </si>
  <si>
    <t>Tournaments</t>
  </si>
  <si>
    <t>Transactions</t>
  </si>
  <si>
    <t>Banner cohorts</t>
  </si>
  <si>
    <t>No 3DS - Credit card</t>
  </si>
  <si>
    <t>Bank account redemption - Automatic scheduled</t>
  </si>
  <si>
    <t>Logged out lobby</t>
  </si>
  <si>
    <t>Hot Games Now</t>
  </si>
  <si>
    <t>Banners</t>
  </si>
  <si>
    <t>Game Group cohorts</t>
  </si>
  <si>
    <t>3DS - Debit card - Transation accepted</t>
  </si>
  <si>
    <t>Debit card first redemption - Manual approval (Sent)</t>
  </si>
  <si>
    <t>New account - Onboarding</t>
  </si>
  <si>
    <t>Modo Originals</t>
  </si>
  <si>
    <t>3DS - Debit card - Transation rejected</t>
  </si>
  <si>
    <t>Debit card redemption - Automatic scheduled - VIP level below Gold II</t>
  </si>
  <si>
    <t>Logged in lobby</t>
  </si>
  <si>
    <t>Challenges</t>
  </si>
  <si>
    <t>3DS - Credit card - Transation accepted</t>
  </si>
  <si>
    <t>Debit card redemption - Automatic approval (Sent) - VIP level &gt;= Gold II</t>
  </si>
  <si>
    <t>My Profile</t>
  </si>
  <si>
    <t>Rewards</t>
  </si>
  <si>
    <t>3DS - Credit card - Transation rejected</t>
  </si>
  <si>
    <t>Prizeout redemption - Automatic scheduled</t>
  </si>
  <si>
    <t>Lobby tab</t>
  </si>
  <si>
    <t>Packages</t>
  </si>
  <si>
    <t>CVV check</t>
  </si>
  <si>
    <t>Redemption cancelled</t>
  </si>
  <si>
    <t>Promotions</t>
  </si>
  <si>
    <t>AVS check (Billing address check)</t>
  </si>
  <si>
    <t>Redemption rejected</t>
  </si>
  <si>
    <t>Games tab</t>
  </si>
  <si>
    <t>Automatic Risk level changes</t>
  </si>
  <si>
    <t>Redemption reversed</t>
  </si>
  <si>
    <t>Modo Boxes tab</t>
  </si>
  <si>
    <t>Chargebacks</t>
  </si>
  <si>
    <t>Additional Test</t>
  </si>
  <si>
    <t>Promotion tab</t>
  </si>
  <si>
    <t>Velocity Controls</t>
  </si>
  <si>
    <t>Additional Payment Methods</t>
  </si>
  <si>
    <t>Refer a Friend section + Store</t>
  </si>
  <si>
    <t>Daily Bonus Streaks section</t>
  </si>
  <si>
    <t>Installment Plans</t>
  </si>
  <si>
    <t>VIP Ranks section</t>
  </si>
  <si>
    <t>Redeem tab</t>
  </si>
  <si>
    <t>Game Categories</t>
  </si>
  <si>
    <t>FAQ tab</t>
  </si>
  <si>
    <t>Feature Flags</t>
  </si>
  <si>
    <t>Live Chat tab</t>
  </si>
  <si>
    <t>Roles</t>
  </si>
  <si>
    <t>Notifications button</t>
  </si>
  <si>
    <t>Free Play Campaigns</t>
  </si>
  <si>
    <t>Account statuses and restricted actions</t>
  </si>
  <si>
    <t>External Systems</t>
  </si>
  <si>
    <t>Responsible gaming tab - Purchase limits</t>
  </si>
  <si>
    <t>Logout</t>
  </si>
  <si>
    <t>Streak Repair</t>
  </si>
  <si>
    <t>Wheel Spin</t>
  </si>
  <si>
    <t>GPS geoblock</t>
  </si>
  <si>
    <t>Total tests:</t>
  </si>
  <si>
    <t>NON-DUPLICATE COUNT</t>
  </si>
  <si>
    <t>Team</t>
  </si>
  <si>
    <t>Test description</t>
  </si>
  <si>
    <t>Priority</t>
  </si>
  <si>
    <t>Status</t>
  </si>
  <si>
    <t>QA Wolf test name</t>
  </si>
  <si>
    <t>Duplicate Coverage</t>
  </si>
  <si>
    <t>Core</t>
  </si>
  <si>
    <t>GC only Store</t>
  </si>
  <si>
    <t>Done</t>
  </si>
  <si>
    <t>GC only First time shopper</t>
  </si>
  <si>
    <t>Check GC only Welcome Bonus</t>
  </si>
  <si>
    <t>GC only Daily login bonus</t>
  </si>
  <si>
    <r>
      <rPr>
        <u/>
        <sz val="10"/>
        <color rgb="FF434343"/>
        <rFont val="Arial"/>
      </rPr>
      <t xml:space="preserve">GC only Daily login bonus
</t>
    </r>
    <r>
      <rPr>
        <u/>
        <sz val="10"/>
        <color rgb="FF1155CC"/>
        <rFont val="Arial"/>
      </rPr>
      <t>GC only Wheel Spin</t>
    </r>
  </si>
  <si>
    <t>GC only VIP promotions</t>
  </si>
  <si>
    <t>Remove SC bonus from referrals</t>
  </si>
  <si>
    <r>
      <rPr>
        <u/>
        <sz val="10"/>
        <color rgb="FF1155CC"/>
        <rFont val="Arial"/>
      </rPr>
      <t>Remove SC bonus from referrals</t>
    </r>
  </si>
  <si>
    <t>Marketing</t>
  </si>
  <si>
    <t>GC only rewards (state restrictions)</t>
  </si>
  <si>
    <r>
      <rPr>
        <u/>
        <sz val="10"/>
        <color rgb="FF1155CC"/>
        <rFont val="Arial"/>
      </rPr>
      <t>GC only rewards (state restrictions)</t>
    </r>
  </si>
  <si>
    <t>GC only disable redemptions</t>
  </si>
  <si>
    <r>
      <rPr>
        <u/>
        <sz val="10"/>
        <color rgb="FF1155CC"/>
        <rFont val="Arial"/>
      </rPr>
      <t>GC only disable redemptions</t>
    </r>
  </si>
  <si>
    <t>GC only disable SC toggle in Lobby</t>
  </si>
  <si>
    <r>
      <rPr>
        <u/>
        <sz val="10"/>
        <color rgb="FF1155CC"/>
        <rFont val="Arial"/>
      </rPr>
      <t>GC only disable SC toggle in Lobby</t>
    </r>
  </si>
  <si>
    <t>GC only hide SC toggle in game preview modal</t>
  </si>
  <si>
    <r>
      <rPr>
        <u/>
        <sz val="10"/>
        <color rgb="FF1155CC"/>
        <rFont val="Arial"/>
      </rPr>
      <t>GC only hide SC toggle in game preview modal</t>
    </r>
  </si>
  <si>
    <t>Previous year review &amp; announcement modal</t>
  </si>
  <si>
    <t>In Progress</t>
  </si>
  <si>
    <r>
      <rPr>
        <u/>
        <sz val="10"/>
        <color rgb="FF1155CC"/>
        <rFont val="Arial"/>
      </rPr>
      <t>Previous year review &amp; announcement modal</t>
    </r>
  </si>
  <si>
    <t>Modo ranks info page</t>
  </si>
  <si>
    <r>
      <rPr>
        <u/>
        <sz val="10"/>
        <color rgb="FF1155CC"/>
        <rFont val="Arial"/>
      </rPr>
      <t>Modo ranks info page</t>
    </r>
  </si>
  <si>
    <t>Modo rank side widget</t>
  </si>
  <si>
    <r>
      <rPr>
        <u/>
        <sz val="10"/>
        <color rgb="FF1155CC"/>
        <rFont val="Arial"/>
      </rPr>
      <t>Modo rank side widget</t>
    </r>
  </si>
  <si>
    <t>View current Modo rank</t>
  </si>
  <si>
    <r>
      <rPr>
        <u/>
        <sz val="10"/>
        <color rgb="FF1155CC"/>
        <rFont val="Arial"/>
      </rPr>
      <t>View current Modo rank</t>
    </r>
  </si>
  <si>
    <t>My Profile' Modo rank badge</t>
  </si>
  <si>
    <r>
      <rPr>
        <u/>
        <sz val="10"/>
        <color rgb="FF1155CC"/>
        <rFont val="Arial"/>
      </rPr>
      <t>My Profile' Modo rank badge</t>
    </r>
  </si>
  <si>
    <t>VIP points gained through play</t>
  </si>
  <si>
    <r>
      <rPr>
        <u/>
        <sz val="10"/>
        <color rgb="FF1155CC"/>
        <rFont val="Arial"/>
      </rPr>
      <t>VIP points gained through play</t>
    </r>
  </si>
  <si>
    <t>Modo rank up</t>
  </si>
  <si>
    <r>
      <rPr>
        <u/>
        <sz val="10"/>
        <color rgb="FF1155CC"/>
        <rFont val="Arial"/>
      </rPr>
      <t>Modo rank up</t>
    </r>
  </si>
  <si>
    <t>Invite/Uninvite to Exclusive Ranks - Black Diamond I</t>
  </si>
  <si>
    <t>TBD</t>
  </si>
  <si>
    <t>Invite/Uninvite to Exclusive Ranks - Black Diamond II</t>
  </si>
  <si>
    <t>Invite/Uninvite to Exclusive Ranks - Black Diamond III</t>
  </si>
  <si>
    <t xml:space="preserve">Existing Black Diamond users </t>
  </si>
  <si>
    <t>Giveaway/Tournament cohort</t>
  </si>
  <si>
    <t>Gold Coins store</t>
  </si>
  <si>
    <t>Modo Stars Store</t>
  </si>
  <si>
    <t>Redeem Stars</t>
  </si>
  <si>
    <t>Earning Modo stars through GC play</t>
  </si>
  <si>
    <t>Block AMOE code generation page</t>
  </si>
  <si>
    <t>Hide low on SC flow - Onboarding</t>
  </si>
  <si>
    <t>Hide low on SC flow - Lobby</t>
  </si>
  <si>
    <t>Check Modo Original games: Blackjack (Implement given feedback)</t>
  </si>
  <si>
    <t>Check Modo Original games: Roulette (Implement given feedback)</t>
  </si>
  <si>
    <t>Check Modo Original games: Mines</t>
  </si>
  <si>
    <t>Check Modo Original games: Dice</t>
  </si>
  <si>
    <t>Check Modo Original games: Wheel</t>
  </si>
  <si>
    <t>Check Modo Original games: Limbo</t>
  </si>
  <si>
    <t>Login with Facebook - New auth flow</t>
  </si>
  <si>
    <t>Login with Facebook</t>
  </si>
  <si>
    <t>Login with Apple - New auth flow</t>
  </si>
  <si>
    <t>Login with Apple</t>
  </si>
  <si>
    <t>Login with Email - New auth flow</t>
  </si>
  <si>
    <t>Request 1st bank redemption</t>
  </si>
  <si>
    <t>Request 1st debit redemption (Fiserv 1960 card)</t>
  </si>
  <si>
    <t>Request Gift card</t>
  </si>
  <si>
    <t>Play Tournament game</t>
  </si>
  <si>
    <t>Play Tournament Games</t>
  </si>
  <si>
    <t>Check Tournament Cohorts</t>
  </si>
  <si>
    <t>Check Tournament rewards</t>
  </si>
  <si>
    <t>Check Tournament Rewards</t>
  </si>
  <si>
    <t>Check Latest Winners section</t>
  </si>
  <si>
    <t>Check Game categories in lobby</t>
  </si>
  <si>
    <t>Check Banners</t>
  </si>
  <si>
    <t xml:space="preserve">Create a Promotion in BO with a 1-2 limit
(Can follow steps from BO tab &gt; Promotions) </t>
  </si>
  <si>
    <t>Purchasing a package in order for a chargeback to appear in BO</t>
  </si>
  <si>
    <t>SSN Verification</t>
  </si>
  <si>
    <t>Set up Manual Review status
(@arbinteractive account)</t>
  </si>
  <si>
    <t>Check Geoblock page - Deny geolocation</t>
  </si>
  <si>
    <t>Check Modo logo and menu arrow</t>
  </si>
  <si>
    <t>Click Login, Register, Any Banner, and Any Game, Menu Icon, and Modo Logo</t>
  </si>
  <si>
    <t>Check the Envelop Request Code</t>
  </si>
  <si>
    <t>Check Lobby tab</t>
  </si>
  <si>
    <t>Select Lobby Tab, Toggle Sidebar Button and Click Modo Button</t>
  </si>
  <si>
    <t>Check Refer a Friend section and get the Referral link</t>
  </si>
  <si>
    <t>Pending</t>
  </si>
  <si>
    <t>Refer a Friend</t>
  </si>
  <si>
    <t>Create new account with Referral link
(On Referred account)</t>
  </si>
  <si>
    <t>Check onboarded referred account and "Join" step</t>
  </si>
  <si>
    <t>Meet payment threshold purchasing a single $20 package
(On Referred account)</t>
  </si>
  <si>
    <t>Meet payment threshold purchasing lower price packages 
(On Referred account)</t>
  </si>
  <si>
    <t>Check "Purchase" step</t>
  </si>
  <si>
    <t>Verify ID from referred accounts
(@arbinteractive account)</t>
  </si>
  <si>
    <t>Check "Verify" and "Claim!" steps</t>
  </si>
  <si>
    <t>Claim reward</t>
  </si>
  <si>
    <t>Check GPS geoblock functionality</t>
  </si>
  <si>
    <t>Remove Auto Opening of Daily Bonus Popup</t>
  </si>
  <si>
    <t>Check Rank up promotions</t>
  </si>
  <si>
    <t>CVV matched - CKO</t>
  </si>
  <si>
    <t>CVV did not match - CKO</t>
  </si>
  <si>
    <t>Street and 5 Digit Postal match</t>
  </si>
  <si>
    <t>No Address Match</t>
  </si>
  <si>
    <t>Risk level should be/change to Medium_High if user has 4 or more zip codes within transactions from last 3 months</t>
  </si>
  <si>
    <t xml:space="preserve">Risk level should be/changed to High if the user has played in a restricted game, has a hold ratio &gt; 1, and requests a redemption </t>
  </si>
  <si>
    <t>Purchase the lowest $ amount package possible via Skrill</t>
  </si>
  <si>
    <t>Any redemption cancelled</t>
  </si>
  <si>
    <t>Any redemption rejected</t>
  </si>
  <si>
    <t>1 Bank redemption 
1 Debit redemption
 (Returned by Admin)</t>
  </si>
  <si>
    <r>
      <rPr>
        <u/>
        <sz val="10"/>
        <color rgb="FF1155CC"/>
        <rFont val="Arial"/>
      </rPr>
      <t>Reverse Redemption</t>
    </r>
    <r>
      <rPr>
        <sz val="10"/>
        <color rgb="FF000000"/>
        <rFont val="Arial"/>
        <scheme val="minor"/>
      </rPr>
      <t xml:space="preserve"> (covers bank. Debit needs to be added)</t>
    </r>
  </si>
  <si>
    <t>Check Modo Originals games: Plinko</t>
  </si>
  <si>
    <t>Plinko - Insufficient Funds</t>
  </si>
  <si>
    <t>Plinko - Risk Profile</t>
  </si>
  <si>
    <t>Plinko - Skip Visual Effects</t>
  </si>
  <si>
    <t>Plinko - Verify Number of Rows</t>
  </si>
  <si>
    <t>Plinko - Volume</t>
  </si>
  <si>
    <t>Roulette - Placeholder</t>
  </si>
  <si>
    <t>Check Games tab (logged out -&gt; logged in)</t>
  </si>
  <si>
    <r>
      <rPr>
        <u/>
        <sz val="10"/>
        <color rgb="FF1155CC"/>
        <rFont val="Arial"/>
      </rPr>
      <t>Check Games Tab</t>
    </r>
    <r>
      <rPr>
        <sz val="10"/>
        <color rgb="FF000000"/>
        <rFont val="Arial"/>
        <scheme val="minor"/>
      </rPr>
      <t xml:space="preserve"> (checks when logged in)</t>
    </r>
  </si>
  <si>
    <t>Check Latest Winners section (logged out -&gt; logged in)</t>
  </si>
  <si>
    <t>Check Popular now section (logged out -&gt; logged in)</t>
  </si>
  <si>
    <t xml:space="preserve">Check Popular now section </t>
  </si>
  <si>
    <t>Check Top 10 games category (logged out -&gt; logged in)</t>
  </si>
  <si>
    <t>Check Top 10 games category</t>
  </si>
  <si>
    <t>Check Our Providers section</t>
  </si>
  <si>
    <t>Check Recommended For You section</t>
  </si>
  <si>
    <t>Modo Boxes Banner</t>
  </si>
  <si>
    <t>Modo Boxes - Banner</t>
  </si>
  <si>
    <t>Modo Box Catalog Header</t>
  </si>
  <si>
    <t>Catalog Page - Modo Boxes (Catalog)</t>
  </si>
  <si>
    <t>How Modo Boxes Work</t>
  </si>
  <si>
    <t xml:space="preserve">Catalog Page - How Modo Boxes Work </t>
  </si>
  <si>
    <t>Redemption (shipping)</t>
  </si>
  <si>
    <t>Box Opening Page - Redemption (shipping)</t>
  </si>
  <si>
    <t>Tiered Daily bonus</t>
  </si>
  <si>
    <t>Check Geoblock page - Allow geolocation</t>
  </si>
  <si>
    <t>Sign up with Email - New auth flow</t>
  </si>
  <si>
    <t>Create New User</t>
  </si>
  <si>
    <t>Check Login and Register buttons</t>
  </si>
  <si>
    <r>
      <rPr>
        <u/>
        <sz val="10"/>
        <color rgb="FF434343"/>
        <rFont val="Arial"/>
      </rPr>
      <t xml:space="preserve">Landing Page:
Click on Elements that Lead to Login Modal
</t>
    </r>
    <r>
      <rPr>
        <u/>
        <sz val="10"/>
        <color rgb="FF1155CC"/>
        <rFont val="Arial"/>
      </rPr>
      <t>Click on Elements that Lead to Sign Up Modal</t>
    </r>
  </si>
  <si>
    <t>Login with Google - New auth flow</t>
  </si>
  <si>
    <t>Login with Google</t>
  </si>
  <si>
    <t>Check the Welcome to Modo modal (Welcome bonus + Login Streak info)</t>
  </si>
  <si>
    <t>Check Store - All set! modal</t>
  </si>
  <si>
    <t>Sign Up and Select Sweepstakes Rules and Any Package</t>
  </si>
  <si>
    <t>Check restricted actions by Address Details modal</t>
  </si>
  <si>
    <t>Sign Up and Visit Areas Restricted until Address is Entered</t>
  </si>
  <si>
    <t>Check Address Details modal</t>
  </si>
  <si>
    <t>Request bank redemption - User eligible for automatic Scheduled</t>
  </si>
  <si>
    <t>Request debit redemption - (Fiserv 1960 card) User eligible for automatic Scheduled - Below Gold II</t>
  </si>
  <si>
    <t>Request debit redemption - User eligible for automatic Scheduled - Below Gold II</t>
  </si>
  <si>
    <t>Request debit redemption - (MasterCard 0080 card) User eligible for automatic Scheduled - &gt;= Gold II</t>
  </si>
  <si>
    <t>Request debit redemption - User eligible for automatic Scheduled - &gt;= Gold II</t>
  </si>
  <si>
    <t>Approve DEBIT Redemption from BO 
(@arbinteractive account)</t>
  </si>
  <si>
    <t>Redeem Cash Prize as Debit Card</t>
  </si>
  <si>
    <t>Approve BANK Redemption from BO 
(@arbinteractive account)</t>
  </si>
  <si>
    <t xml:space="preserve">Redeem Cash Prize to Bank Account </t>
  </si>
  <si>
    <t>Create Tournament
(@arbinteractive account)</t>
  </si>
  <si>
    <t>Create Tournament</t>
  </si>
  <si>
    <t>Cancelled redemption funds returned to wallet</t>
  </si>
  <si>
    <t>Gift Card Redemption Cancellation - Balance Restoration Check</t>
  </si>
  <si>
    <t>Check Game categories bar</t>
  </si>
  <si>
    <t>Check Search bar and play game with SC and GC coins</t>
  </si>
  <si>
    <t>Play a GC or SC spin on any game and then return to the Lobby</t>
  </si>
  <si>
    <t>Password Reset</t>
  </si>
  <si>
    <t>Reset Password</t>
  </si>
  <si>
    <t>Check Game Session Recap modal and functionality</t>
  </si>
  <si>
    <t>Hot Games Now Functionality Works</t>
  </si>
  <si>
    <t>Check page footer and links</t>
  </si>
  <si>
    <t>Click on Landing Page Footer Links</t>
  </si>
  <si>
    <t>Check Almost done modal (Personal info form)</t>
  </si>
  <si>
    <t>Sign Up - Unhappy Path</t>
  </si>
  <si>
    <t>VISA - New Card Debit - No 3DS
Successful Payment</t>
  </si>
  <si>
    <t>VISA - Existing Card Debit - No 3DS
Successful Payment</t>
  </si>
  <si>
    <t>MasterCard - New Card Debit - No 3DS
Successful Payment</t>
  </si>
  <si>
    <t>MasterCard - Existing Card Debit - No 3DS
Successful Payment</t>
  </si>
  <si>
    <t>VISA - New Card Debit - Yes 3DS
Successful Payment</t>
  </si>
  <si>
    <t>VISA - Existing Card Debit - Yes 3DS
Successful Payment</t>
  </si>
  <si>
    <t>MasterCard - New Card Debit - Yes 3DS
Successful Payment</t>
  </si>
  <si>
    <t>MasterCard - Existing Card Debit - Yes 3DS
Successful Payment</t>
  </si>
  <si>
    <t>Successful payment - Discover (New Card)</t>
  </si>
  <si>
    <t>Successful payment - Discover (Existing Card)</t>
  </si>
  <si>
    <t>Successful payment - Visa (New Card)</t>
  </si>
  <si>
    <t>Successful payment - Visa (Existing Card)</t>
  </si>
  <si>
    <t>Successful payment - Mastercard (New Card)</t>
  </si>
  <si>
    <t>Successful payment - Mastercard (Existing Card)</t>
  </si>
  <si>
    <t>Check SC/GC tabs</t>
  </si>
  <si>
    <t>Click on Logged In Lobby Footer Links</t>
  </si>
  <si>
    <t>Check My Profile button</t>
  </si>
  <si>
    <t>Verify User</t>
  </si>
  <si>
    <t>Check Responsible gaming tab - Self-exclusion</t>
  </si>
  <si>
    <t>Select Self Exclusion</t>
  </si>
  <si>
    <t>Check Promotions tab</t>
  </si>
  <si>
    <t>Select Promotions Tab and Click on Learn More Button</t>
  </si>
  <si>
    <t>Set up Banned status
(@arbinteractive account)</t>
  </si>
  <si>
    <t>Toggle Ban User On and Off</t>
  </si>
  <si>
    <t>Approve the ID verification request from BO 
(@arbinteractive account)</t>
  </si>
  <si>
    <t>Make Fresh Account for Upload Documents</t>
  </si>
  <si>
    <t>Check Documents section from Verifications tab</t>
  </si>
  <si>
    <t>Upload Documents</t>
  </si>
  <si>
    <t>Check Bank accounts tab</t>
  </si>
  <si>
    <t>Add Bank Account and Delete Bank Account</t>
  </si>
  <si>
    <t>Add 1000 redeemable SC to the test account from BO 
(@arbinteractive account)</t>
  </si>
  <si>
    <t>Check Redeem tab</t>
  </si>
  <si>
    <t>Redeem Cash Prize to Bank Account</t>
  </si>
  <si>
    <t>Set up Require KYC verification status
(@arbinteractive account)</t>
  </si>
  <si>
    <t>KYC Verification Toggled On and Set ID Verification as Unstarted</t>
  </si>
  <si>
    <t>Check Verifications tab</t>
  </si>
  <si>
    <t>Plinko - Verify Game Renders and Play Game</t>
  </si>
  <si>
    <t>Check Modo Original games: Blackjack</t>
  </si>
  <si>
    <t>Blackjack - Decline Even Coins</t>
  </si>
  <si>
    <t>Blackjack - Decline Insurance</t>
  </si>
  <si>
    <t>Blackjack - Even Coins Win</t>
  </si>
  <si>
    <t>Blackjack - Insurance Lose</t>
  </si>
  <si>
    <t>Blackjack - Insurance Win</t>
  </si>
  <si>
    <t>Blackjack - Lose</t>
  </si>
  <si>
    <t>Blackjack - Push</t>
  </si>
  <si>
    <t>Blackjack - Win</t>
  </si>
  <si>
    <t>Check Modo Original games: Roulette</t>
  </si>
  <si>
    <t>Roulette - Draw</t>
  </si>
  <si>
    <t>Roulette - Loss</t>
  </si>
  <si>
    <t>Roulette - Undo and Clear Buttons</t>
  </si>
  <si>
    <t>Roulette - Wins - 1 to 12, 13 to 24, or 25 to 36</t>
  </si>
  <si>
    <t>Roulette - Wins - Red/Black or Even/Odd</t>
  </si>
  <si>
    <t xml:space="preserve"> Roulette - Wins - Single Number</t>
  </si>
  <si>
    <t>Check Modo Original games: Roulette Wins - (Column)</t>
  </si>
  <si>
    <t>Check Modo Original games: Roulette - Random Play</t>
  </si>
  <si>
    <t>Check Search bar</t>
  </si>
  <si>
    <t>Search by Partial and Full Game Name and Game Provider's Name</t>
  </si>
  <si>
    <t>Check Hot Now section - Top 3 Winning games (logged out -&gt; logged in)</t>
  </si>
  <si>
    <t>Check Hot Now section - Top 3 Winning games</t>
  </si>
  <si>
    <t>Check All games category (logged out -&gt; logged in)</t>
  </si>
  <si>
    <r>
      <rPr>
        <u/>
        <sz val="10"/>
        <color rgb="FF434343"/>
        <rFont val="Arial"/>
      </rPr>
      <t>Check All games category</t>
    </r>
    <r>
      <rPr>
        <sz val="10"/>
        <color rgb="FF000000"/>
        <rFont val="Arial"/>
      </rPr>
      <t xml:space="preserve"> (checks logged in)</t>
    </r>
  </si>
  <si>
    <t>Check Continue Playing section</t>
  </si>
  <si>
    <t xml:space="preserve">Modo Boxes Sidebar </t>
  </si>
  <si>
    <t>Modo Boxes - Sidebar</t>
  </si>
  <si>
    <t>Check new Store and Store pop ups disclaimers</t>
  </si>
  <si>
    <t>Checked tiered daily bonus with milestones</t>
  </si>
  <si>
    <t>V2</t>
  </si>
  <si>
    <t>Total TCs:</t>
  </si>
  <si>
    <t>Area</t>
  </si>
  <si>
    <t>Test case</t>
  </si>
  <si>
    <t>Steps</t>
  </si>
  <si>
    <t>Expected result</t>
  </si>
  <si>
    <t>QA Wolf Workflow Name</t>
  </si>
  <si>
    <t>QA Wolf Status</t>
  </si>
  <si>
    <t>ARB Status</t>
  </si>
  <si>
    <t>Release blocker?</t>
  </si>
  <si>
    <t xml:space="preserve">ARB Comments </t>
  </si>
  <si>
    <t>QA Wolf Comments</t>
  </si>
  <si>
    <t>Approved</t>
  </si>
  <si>
    <t>Draft</t>
  </si>
  <si>
    <t>Needs Automation</t>
  </si>
  <si>
    <t>Not Found</t>
  </si>
  <si>
    <t>Request Assertions</t>
  </si>
  <si>
    <t>Maintenance</t>
  </si>
  <si>
    <t>Date</t>
  </si>
  <si>
    <t>QA Wolf tests</t>
  </si>
  <si>
    <t>Duration</t>
  </si>
  <si>
    <t>Modo</t>
  </si>
  <si>
    <t>50 minutes (Active work time)
Around 3 hours total with other responsabilities</t>
  </si>
  <si>
    <t>-</t>
  </si>
  <si>
    <t>26 (All)</t>
  </si>
  <si>
    <t>COUNTA of QA Wolf Status</t>
  </si>
  <si>
    <t>Grand Total</t>
  </si>
  <si>
    <t>Cell color coding</t>
  </si>
  <si>
    <t>iOS (APP)</t>
  </si>
  <si>
    <t>iOS (PWA)</t>
  </si>
  <si>
    <t>iOS (Browser)</t>
  </si>
  <si>
    <t>Android (APP)</t>
  </si>
  <si>
    <t>Android (PWA)</t>
  </si>
  <si>
    <t>Android (Browser)</t>
  </si>
  <si>
    <t>At least 1 checked</t>
  </si>
  <si>
    <r>
      <rPr>
        <b/>
        <sz val="9"/>
        <color theme="1"/>
        <rFont val="Calibri"/>
      </rPr>
      <t xml:space="preserve">Testing notes:
</t>
    </r>
    <r>
      <rPr>
        <sz val="9"/>
        <color theme="1"/>
        <rFont val="Calibri"/>
      </rPr>
      <t>Difference between Rewards, Click &amp; Claim, Giveaways and Tournaments
Rewards: These are given to users for a variety of reasons, these are collected by users from the Click &amp; Claim reward modal that appears once they have been awarded GC/SC for any of the following reasons:
- VIP Rank ups
- VIP level related weekly/montly Click &amp; Claims (These are usually handled by the Marketing team, but just for context, depending on the users GC/SC plays and their VIP level, they would receive back some GC/SC based on a %)
- Marketing promotions
- Giveaway/Tournament prizes
Click &amp; Claim: As mentioned above, these are presented to the user through a modal where they can claim their GC/SC rewards (they would receive an email as well in some instances, again this is something mostly handled by Marketing, as QA we just need to Ensure the modal can be triggered, that there are no errors on the modal and that the GC/SC is credited as intended)
Giveaways: This is an in-game Modo feature that gives players the oportunity to win extra GC/SC rewards by playing the games that are part of an active Giveaway
Tournament: Like Giveaways, Tournaments are an in-game Modo feature that gives players the chance to win extra GC/SC rewards but this time by placing at the top of the leaderboard by winning in the games that are part of an active Tournament.</t>
    </r>
  </si>
  <si>
    <t>Improvement: The feature/section being tested works but could be improved</t>
  </si>
  <si>
    <t>N/A: The test case only applies to a column(s) or the feature is not ready to test yet</t>
  </si>
  <si>
    <t>Improvement</t>
  </si>
  <si>
    <t>Fail: The feature/section is broken/blocked. Stops flow or high visibility issue</t>
  </si>
  <si>
    <t>Title</t>
  </si>
  <si>
    <t>Result</t>
  </si>
  <si>
    <t>Bug #</t>
  </si>
  <si>
    <t>Comments</t>
  </si>
  <si>
    <t>1PG / Modo Originals</t>
  </si>
  <si>
    <t>.</t>
  </si>
  <si>
    <t>TC</t>
  </si>
  <si>
    <t>Check Modo Originals games</t>
  </si>
  <si>
    <t>Shared Components</t>
  </si>
  <si>
    <r>
      <rPr>
        <sz val="11"/>
        <color theme="1"/>
        <rFont val="Calibri"/>
      </rPr>
      <t xml:space="preserve">• Check the common elements that are shared across all games 
</t>
    </r>
    <r>
      <rPr>
        <b/>
        <sz val="11"/>
        <color theme="1"/>
        <rFont val="Calibri"/>
      </rPr>
      <t>*</t>
    </r>
    <r>
      <rPr>
        <b/>
        <u/>
        <sz val="11"/>
        <color theme="1"/>
        <rFont val="Calibri"/>
      </rPr>
      <t>ONLY</t>
    </r>
    <r>
      <rPr>
        <sz val="11"/>
        <color theme="1"/>
        <rFont val="Calibri"/>
      </rPr>
      <t xml:space="preserve"> fill these cells once </t>
    </r>
    <r>
      <rPr>
        <b/>
        <u/>
        <sz val="11"/>
        <color theme="1"/>
        <rFont val="Calibri"/>
      </rPr>
      <t>all</t>
    </r>
    <r>
      <rPr>
        <sz val="11"/>
        <color theme="1"/>
        <rFont val="Calibri"/>
      </rPr>
      <t xml:space="preserve"> games have been checked</t>
    </r>
  </si>
  <si>
    <r>
      <rPr>
        <sz val="11"/>
        <color theme="1"/>
        <rFont val="Calibri"/>
      </rPr>
      <t>• Settings button options:
◦ Ensure the following Menu options are present and work as intended:
- Game Info - includes all game rules, and game rules are accurate, and RTP is correct
- Fairness - can copy Active Client Seed and Server Seed Hash, and can update Client Seed
◦ Ensure the following Settings options are present and work as intended:
- Instant Play toggles on/off and correctly enables/disables instant play
- Mute/Unmute toggles and correctly enables/disables sounds
- Cheats toggles on/off and correctly enables/disables Cheat: Forced Outcome (</t>
    </r>
    <r>
      <rPr>
        <b/>
        <sz val="11"/>
        <color theme="1"/>
        <rFont val="Calibri"/>
      </rPr>
      <t>IMPORTANT:</t>
    </r>
    <r>
      <rPr>
        <sz val="11"/>
        <color theme="1"/>
        <rFont val="Calibri"/>
      </rPr>
      <t xml:space="preserve"> Cheats should </t>
    </r>
    <r>
      <rPr>
        <b/>
        <u/>
        <sz val="11"/>
        <color theme="1"/>
        <rFont val="Calibri"/>
      </rPr>
      <t>NOT</t>
    </r>
    <r>
      <rPr>
        <sz val="11"/>
        <color theme="1"/>
        <rFont val="Calibri"/>
      </rPr>
      <t xml:space="preserve"> be present in Prod)
+ Cheat: Forced Outcome functions as intended
• Ensure game is SL-compliant.
• Ensure plays and wins are awarded to the account as intended.
- Play history is shown in-game (if applicable)
• Ensure rollbacks are functioning as intended and logged to the account.
• Ensure game is performant and lag-free.</t>
    </r>
  </si>
  <si>
    <t>Plinko</t>
  </si>
  <si>
    <t>• Search for Modo Originals in the search bar
• Launch Plinko and play &amp; win using GC and SC</t>
  </si>
  <si>
    <r>
      <rPr>
        <sz val="11"/>
        <color theme="1"/>
        <rFont val="Calibri"/>
      </rPr>
      <t xml:space="preserve">• Ensure the following UI elements are present </t>
    </r>
    <r>
      <rPr>
        <b/>
        <u/>
        <sz val="11"/>
        <color theme="1"/>
        <rFont val="Calibri"/>
      </rPr>
      <t>and work as intended</t>
    </r>
    <r>
      <rPr>
        <sz val="11"/>
        <color theme="1"/>
        <rFont val="Calibri"/>
      </rPr>
      <t xml:space="preserve">:
 - Number of rows: Can pick </t>
    </r>
    <r>
      <rPr>
        <b/>
        <u/>
        <sz val="11"/>
        <color theme="1"/>
        <rFont val="Calibri"/>
      </rPr>
      <t>and play</t>
    </r>
    <r>
      <rPr>
        <sz val="11"/>
        <color theme="1"/>
        <rFont val="Calibri"/>
      </rPr>
      <t xml:space="preserve"> from 8 through 16
- Risk Profile: Can pick </t>
    </r>
    <r>
      <rPr>
        <b/>
        <u/>
        <sz val="11"/>
        <color theme="1"/>
        <rFont val="Calibri"/>
      </rPr>
      <t>and play</t>
    </r>
    <r>
      <rPr>
        <sz val="11"/>
        <color theme="1"/>
        <rFont val="Calibri"/>
      </rPr>
      <t xml:space="preserve"> Low|Medium|High
- Play amount: 10 should appear as default for GC and 1 for SC but can type in any amount between minimum up to actual balance on the account. Other options here should be 1/2, 2x and Max.
- Total balance of the account should appear next to Play amount and update in semi-realtime
- Information icon next to Play amount: Ensure all 5 pages are displayed as intended and have no issues
- Play button: Ensure the button works as intended and that the text changes from "Play" to "Insufficient Coins" whenever the play amount is higher than the actual balance (Should only happen when playing the last coins available on the account as typing in a higher amount than current balance would default to balance number).
- Settings: Ensure volume and skip visual effects work as intended (special effects refer mostly to the animation triggered when clicking on the Play button)
• Ensure multipliers are awarded correctly (no need to check all of them, but check a couple using a variation of rows + risk profiles)</t>
    </r>
  </si>
  <si>
    <t xml:space="preserve">
LOY-153
LOY-205</t>
  </si>
  <si>
    <t xml:space="preserve">
VL STAGING iOS 12/10/25: Minor issue: a small misalignment of “Number of Rows” in browsers.
TLB STAGING &amp; PROD Android 12/11/25 &amp;12/22/25: Button sounds are not working correctly (Repeated issue).
VL STAGING iOS 12/22/25: Rollback plays are not reflected in the Back Office (BO) and are also missing from the Coin History section.
- Also happening on Desktop &amp; Android TLB 12/22/25
</t>
  </si>
  <si>
    <t>Plinko - Insufficient Funds
Plinko - Risk Profile
Plinko - Skip Visual Effects
Plinko - Verify Game Renders and Play Game
Plinko - Verify Number of Rows
Plinko - Volume</t>
  </si>
  <si>
    <t>Blackjack</t>
  </si>
  <si>
    <t>• Search for Modo Originals in the search bar
• Launch Blackjack and play &amp; win using GC and SC</t>
  </si>
  <si>
    <t>• Ensure the following UI elements are present and work as intended:
 - Play amounts: SC can be set from 0.1 to 10K, no half decimals (e.g. 0.12), GC from 1000 to 1000000
- Play amount divider and multiplier works, and are disabled when reaching the minimum and maximum amount, respectively
- Play button works
- Hit works (except on Split Aces)
- Stand works
- Split works (when splitting Aces, no more plays are possible)
- Double works
- Insurance prompts to Accept &amp; Decline work (0.5x side play win if accepted)
- Even Coins prompts to Accept &amp; Decline work (2x win if accepted aka 1:1 win)
- Blackjack win works (2.5x aka 1.5:1)</t>
  </si>
  <si>
    <t xml:space="preserve">
VL STAGING iOS 12/22/25: Rollback plays are not reflected in the Back Office (BO) and are also missing from the Coin History section.
- Also happening on Desktop &amp; Android TLB 12/22/25
</t>
  </si>
  <si>
    <t>Blackjack - Decline Even Coins
Blackjack - Decline Insurance
Blackjack - Even Coins Win
Blackjack - Insurance Lose
Blackjack - Insurance Win
Blackjack - Lose
Blackjack - Push
Blackjack - Win</t>
  </si>
  <si>
    <t>Roulette</t>
  </si>
  <si>
    <t>• Search for Modo Originals in the search bar
• Launch Roulette and play &amp; win using GC and SC</t>
  </si>
  <si>
    <t>• Ensure the menu's UI elements are present and work as intended:
- Chip Value &amp; value #
- Chip selection &amp; scroll
- Play Amount (label) &amp; value #
- Play Amount (current #), 1/2 &amp; 2x buttons
- Play button
• Ensure the Roulette UI's elements are present and work as intended:
- 35:1 (Numbers 0-36. Only test one or a couple, please randomize them)
- 2:1 (Dozens, 1 to 12, 13 to 24, 25 to 36, and Columns)
1:1 (Red / Black, Odd / Even, Low 1 to 18 / High 19 to 36)
- Undo and Clear</t>
  </si>
  <si>
    <t>LOY-126
LOY-207</t>
  </si>
  <si>
    <t xml:space="preserve">
VL STAGING iOS 12/22/25: Rollback plays are not reflected in the Back Office (BO) and are also missing from the Coin History section.
- Also happening on Desktop &amp; Android TLB 12/22/25
TLB STAGING 12/22/25: - The UI is zoomed in too close and cuts off the undo/clear buttons. (Desktop)
                                         - Clicking on the Instant Play button while the ball is spinning on the table will make the table stop 
                                           spinning while while the ball is still spinning in play. (Android)</t>
  </si>
  <si>
    <t>Roulette - Draw
Roulette - Loss
Roulette - Placeholder
Roulette - Undo and Clear Buttons
Roulette - Wins - 1 to 12, 13 to 24, or 25 to 36
Roulette - Wins - Red/Black or Even/Odd
 Roulette - Wins - Single Number</t>
  </si>
  <si>
    <t>Wheel</t>
  </si>
  <si>
    <t>• Search for Modo Originals in the search bar
• Launch Wheel and play &amp; win using GC and SC</t>
  </si>
  <si>
    <r>
      <rPr>
        <sz val="11"/>
        <color theme="1"/>
        <rFont val="Calibri"/>
      </rPr>
      <t xml:space="preserve">• Ensure the following UI elements are present </t>
    </r>
    <r>
      <rPr>
        <b/>
        <u/>
        <sz val="11"/>
        <color theme="1"/>
        <rFont val="Calibri"/>
      </rPr>
      <t>and work as intended:</t>
    </r>
    <r>
      <rPr>
        <sz val="11"/>
        <color theme="1"/>
        <rFont val="Calibri"/>
      </rPr>
      <t xml:space="preserve">
 - Play Amount input (100 GC min, 0.1 SC min, 10M GC max, 10K SC max)
- 1/2 and 2x buttons (No decimals should occur unless it's the entire balance. Test w/ low decimal balances so that when you reach your max, it'll set your entire balance as the play amount)
- Risk profile: Can pick </t>
    </r>
    <r>
      <rPr>
        <b/>
        <u/>
        <sz val="11"/>
        <color theme="1"/>
        <rFont val="Calibri"/>
      </rPr>
      <t>and play</t>
    </r>
    <r>
      <rPr>
        <sz val="11"/>
        <color theme="1"/>
        <rFont val="Calibri"/>
      </rPr>
      <t xml:space="preserve"> Low|Medium|High
- Segments profile: Can pick </t>
    </r>
    <r>
      <rPr>
        <b/>
        <u/>
        <sz val="11"/>
        <color theme="1"/>
        <rFont val="Calibri"/>
      </rPr>
      <t>and play</t>
    </r>
    <r>
      <rPr>
        <sz val="11"/>
        <color theme="1"/>
        <rFont val="Calibri"/>
      </rPr>
      <t xml:space="preserve"> 10|20|30|40|50
- Play button works as intended
• Ensure history elements correctly match amount and color</t>
    </r>
  </si>
  <si>
    <t xml:space="preserve">
VL STAGING iOS 12/22/25: Rollback plays are not reflected in the Back Office (BO) and are also missing from the Coin History section.
- Also happening on Desktop &amp; Android TLB 12/22/25</t>
  </si>
  <si>
    <t>Blocked</t>
  </si>
  <si>
    <t>Limbo</t>
  </si>
  <si>
    <t>• Search for Modo Originals in the search bar
• Launch Limbo and play &amp; win using GC and SC</t>
  </si>
  <si>
    <t>• Ensure the following UI elements are present and work as intended:
 - Play Amount input (100 GC min, 1 SC min,  GC max, 5000 SC max)
- 1/2 and 2x buttons (No decimals should occur unless it's the entire balance. Test w/ low decimal balances so that when you reach your max, it'll set your entire balance as the play amount)
- Multiplier and Win Chance
• Ensure history elements correctly match amount and color</t>
  </si>
  <si>
    <t xml:space="preserve">
LOY-190</t>
  </si>
  <si>
    <t xml:space="preserve">
VL STAGING iOS 12/22/25: Rollback plays could not be tested because they require an Admin toggle. The game is restricted on Staging.
- Also happening on Desktop &amp; Android TLB 12/22/25</t>
  </si>
  <si>
    <t>Dice</t>
  </si>
  <si>
    <t>• Search for Modo Originals in the search bar
• Launch Dice and play &amp; win using GC and SC</t>
  </si>
  <si>
    <r>
      <rPr>
        <sz val="11"/>
        <color theme="1"/>
        <rFont val="Calibri"/>
      </rPr>
      <t xml:space="preserve">• Ensure the following UI elements are present </t>
    </r>
    <r>
      <rPr>
        <b/>
        <u/>
        <sz val="11"/>
        <color theme="1"/>
        <rFont val="Calibri"/>
      </rPr>
      <t>and work as intended:</t>
    </r>
    <r>
      <rPr>
        <sz val="11"/>
        <color theme="1"/>
        <rFont val="Calibri"/>
      </rPr>
      <t xml:space="preserve">
 - Play Amount input (100 GC min, 0.1 SC min, 10M GC max, 10K SC max)
- 1/2 and 2x buttons (No decimals should occur unless it's the entire balance. Test w/ low decimal balances so that when you reach your max, it'll set your entire balance as the play amount)
- Under / Over buttons and its roll prediction input (up &amp; down arrows, </t>
    </r>
    <r>
      <rPr>
        <u/>
        <sz val="11"/>
        <color theme="1"/>
        <rFont val="Calibri"/>
      </rPr>
      <t>minimum</t>
    </r>
    <r>
      <rPr>
        <sz val="11"/>
        <color theme="1"/>
        <rFont val="Calibri"/>
      </rPr>
      <t xml:space="preserve"> prediction is 4, </t>
    </r>
    <r>
      <rPr>
        <u/>
        <sz val="11"/>
        <color theme="1"/>
        <rFont val="Calibri"/>
      </rPr>
      <t>max</t>
    </r>
    <r>
      <rPr>
        <sz val="11"/>
        <color theme="1"/>
        <rFont val="Calibri"/>
      </rPr>
      <t xml:space="preserve"> is 99, and can input decimals)
- Multiplier and Win Chance adjust according to prediction
- Multiplier and its arrows (min is 1.01, max is 97, and can input decimals that will be adjusted to its nearest valid decimal value)
- Win Chance and its arrows (min is 1%, max is 96%, and can enter decimals)
- Play button works as intended</t>
    </r>
  </si>
  <si>
    <t xml:space="preserve">
VL STAGING iOS 12/22/25: Rollback plays could not be tested because they require an Admin toggle. The game is restricted on Staging.
- Also happening on Desktop &amp; Android as well TLB 12/22/25</t>
  </si>
  <si>
    <t>Mines</t>
  </si>
  <si>
    <t>• Search for Modo Originals in the search bar
• Launch Mines and play &amp; win using GC and SC</t>
  </si>
  <si>
    <r>
      <rPr>
        <sz val="11"/>
        <color theme="1"/>
        <rFont val="Calibri"/>
      </rPr>
      <t xml:space="preserve">• Ensure the following UI elements are present </t>
    </r>
    <r>
      <rPr>
        <b/>
        <u/>
        <sz val="11"/>
        <color theme="1"/>
        <rFont val="Calibri"/>
      </rPr>
      <t>and work as intended:</t>
    </r>
    <r>
      <rPr>
        <sz val="11"/>
        <color theme="1"/>
        <rFont val="Calibri"/>
      </rPr>
      <t xml:space="preserve">
 -  Play amounts: SC can be set from 1 to 5K, GC from 1k to 10M
- Play amount divider and multiplier works, and are disabled when reaching the minimum and maximum amount, respectively
- Number of Mines slider adjusts from 1|24 to 24|1 (default is 12|13)
- Play button
- Random Pick works (once round starts, clicking on it picks randomly)
- Net Gain updates with correct coin amount
- Next: #.##x updates with correct multiplier amount
- Each tile works as intended
- Collect (once round starts, Play button becomes "Collect")
- Once Collect is clicked, multiplier with total win (net gain + original play amount) is shown</t>
    </r>
  </si>
  <si>
    <t>VL STAGING iOS 12/22/25: Rollback plays are not reflected in the Back Office (BO) and are also missing from the Coin History section.
- Also happening on Desktop &amp; Android 12/22/25
TLB STAGING Dekstop &amp; Android 12/22/25: 'Payouts' SL issue in the game rules</t>
  </si>
  <si>
    <t>Modo - Games</t>
  </si>
  <si>
    <t>• Select the Search bar and type in part of a game's name, the game's full name, and the game provider's name</t>
  </si>
  <si>
    <r>
      <rPr>
        <sz val="11"/>
        <color theme="1"/>
        <rFont val="Calibri"/>
      </rPr>
      <t xml:space="preserve">• Ensure searching for part of the game's name, the full game's name or the Game provider's name would show the intended results as expected </t>
    </r>
    <r>
      <rPr>
        <sz val="11"/>
        <color theme="1"/>
        <rFont val="Calibri"/>
      </rPr>
      <t>(Please note the search bar does not allow typos)</t>
    </r>
  </si>
  <si>
    <t>GAME-1569
GAME-1743</t>
  </si>
  <si>
    <t xml:space="preserve">
STAGING: No results are shown when fully typing out the provider and the game title in
the search results
-TLB 11/17/25 Desktop (Chrome), Android (PWA + Browser), All iOS
ALL envs &amp; platforms: Searhc param does not auto-clear on lobby return</t>
  </si>
  <si>
    <t>Search by Partial and Full Game Name and Game Provider's name</t>
  </si>
  <si>
    <t>Check Games tab</t>
  </si>
  <si>
    <t>• Select Games tab from side bar</t>
  </si>
  <si>
    <t>• Ensure the Games tab redirects to Games page
• Ensure only the search bar, login button, register button, game categories and page footer is visible</t>
  </si>
  <si>
    <t>Check Games Tab</t>
  </si>
  <si>
    <t>• Select any game from the Latest Winners section
• Swipe right/left to navigate through the games in the Latest Winners section</t>
  </si>
  <si>
    <t>• Ensure selecting any game from the Latest Winners section redirects to Login page
• Ensure you can swipe right/left or that arrows work as intended
• Ensure the Latest Winners tiles show the following:
- Game thumbnail
- Game name
- Player name
- GC or SC win
- State</t>
  </si>
  <si>
    <t xml:space="preserve">
</t>
  </si>
  <si>
    <t xml:space="preserve">
</t>
  </si>
  <si>
    <t>Check Popular Now section</t>
  </si>
  <si>
    <r>
      <rPr>
        <sz val="11"/>
        <color theme="1"/>
        <rFont val="Calibri"/>
      </rPr>
      <t xml:space="preserve">• Select any game from the Popular Now section
• Swipe right/left to navigate through the games in the Popular now section
• Select the arrows in Popular Now section
• For </t>
    </r>
    <r>
      <rPr>
        <b/>
        <sz val="11"/>
        <color rgb="FFFF0000"/>
        <rFont val="Calibri"/>
      </rPr>
      <t>mobile</t>
    </r>
    <r>
      <rPr>
        <sz val="11"/>
        <color theme="1"/>
        <rFont val="Calibri"/>
      </rPr>
      <t>, use swipe right/left as there are no arrows to scroll through the games</t>
    </r>
  </si>
  <si>
    <r>
      <rPr>
        <sz val="11"/>
        <color theme="1"/>
        <rFont val="Calibri"/>
      </rPr>
      <t xml:space="preserve">• Ensure selecting any game from the Popular now section redirects to login page
• Ensure arrows work as intended
• For </t>
    </r>
    <r>
      <rPr>
        <b/>
        <sz val="11"/>
        <color rgb="FFFF0000"/>
        <rFont val="Calibri"/>
      </rPr>
      <t>mobile</t>
    </r>
    <r>
      <rPr>
        <sz val="11"/>
        <color theme="1"/>
        <rFont val="Calibri"/>
      </rPr>
      <t>, ensure you can swipe games left/right
• Ensure the Popular now tiles show the following:
- Game thumbnail
- Game name
- Game provider
- Number of players
- Play button</t>
    </r>
  </si>
  <si>
    <t>Only logged in lobby draft found</t>
  </si>
  <si>
    <t>Check Game categories</t>
  </si>
  <si>
    <r>
      <rPr>
        <sz val="11"/>
        <color theme="1"/>
        <rFont val="Calibri"/>
      </rPr>
      <t xml:space="preserve">• Select any Game category besides Lobby
• Swipe right/left to navigate through the Game categories
• For </t>
    </r>
    <r>
      <rPr>
        <b/>
        <sz val="11"/>
        <color rgb="FFFF0000"/>
        <rFont val="Calibri"/>
      </rPr>
      <t>mobile</t>
    </r>
    <r>
      <rPr>
        <sz val="11"/>
        <color theme="1"/>
        <rFont val="Calibri"/>
      </rPr>
      <t>, the game category bar is replaced by the filter button next to search bar</t>
    </r>
  </si>
  <si>
    <r>
      <rPr>
        <sz val="11"/>
        <color theme="1"/>
        <rFont val="Calibri"/>
      </rPr>
      <t xml:space="preserve">• Ensure selecting any Game category only shows the games from the selected category + the page footer below. All other Game categories should not be visible.
• Ensure you can swipe right/left or that arrows work as intended
• Ensure "View all" button works as intended
• For </t>
    </r>
    <r>
      <rPr>
        <b/>
        <sz val="11"/>
        <color rgb="FFFF0000"/>
        <rFont val="Calibri"/>
      </rPr>
      <t>mobile</t>
    </r>
    <r>
      <rPr>
        <sz val="11"/>
        <color theme="1"/>
        <rFont val="Calibri"/>
      </rPr>
      <t>, ensure the filter button works as intended</t>
    </r>
  </si>
  <si>
    <t>GAME-1741</t>
  </si>
  <si>
    <t xml:space="preserve">TLB STAGING: The Game categories bar does not fully scroll to the end and makes the 
final game category to be less visible to the user
- Desktop (Chrome) 12/29/25
</t>
  </si>
  <si>
    <t>• Select Lobby Game category
• Select the View all 10 games button
• Select arrows in Top 10 games category
• Swipe right/left to navigate through the Top 10 games section
• Select any game from the Top 10 games section</t>
  </si>
  <si>
    <t>• Ensure selecting the View all 10 games button shows the Top 10 games category (same behavior as selecting the Top 10 games category itself
• Ensure you can swipe right/left or that arrows work as intended
• Ensure the Top 10 games tiles show the following:
- Game thumbnail
- Game name
- Game provider
- Tag(s) (Desktop only)
- Volatility (Desktop only)
• Ensure selecting any game from the Top 10 section redirects to Login page</t>
  </si>
  <si>
    <t>Logged out Lobby:
Check Top 10 games category</t>
  </si>
  <si>
    <t>• Select the arrows in Our Providers section
• Swipe right/left to navigate through Providers</t>
  </si>
  <si>
    <t>• Ensure you can swipe right/left or that arrows work as intended
• Ensure the Provider tiles show the following:
- Provider logo
- Number of games
• Ensure selecting a provider filters for said provider/shows said provider's category</t>
  </si>
  <si>
    <t>Logged out Lobby:
Check Our Providers section</t>
  </si>
  <si>
    <t>• Select any game from the Hot Now section</t>
  </si>
  <si>
    <t>• Ensure selecting any game from the Popular now section redirects to Login page
• Ensure the Hot Now section shows the following:
- Game thumbnail
- Game name
- Game provider
- Player name
- State ("Winner" text below it)
- GC/SC win amount ("Biggest win" text below it)</t>
  </si>
  <si>
    <t>• Select the Lobby Game category
• Navigate up/down in the lobby to check the same Game categories found in the Game category bar
(Note: Game categories with 7 games or more will show the "View all" button and arrows to navigate through the games. Same behavior found in the Top 10 games category</t>
  </si>
  <si>
    <t>• Ensure the same Game categories found in the category bar can be found as section in the lobby below
• Ensure the "View all" button, arrows and swipe work as intended (when applicable)</t>
  </si>
  <si>
    <t>GAME-1747</t>
  </si>
  <si>
    <t>TLB STAGING: The user is directed to the footer instead of the header of the page after clicking 'View all'
on any of the game categories in the lobby. 
- Android (Chrome), Android (PWA)</t>
  </si>
  <si>
    <t>Check All games category</t>
  </si>
  <si>
    <t>• Select any game in the All games category
• Select the Load More button</t>
  </si>
  <si>
    <t>• Ensure selecting any game from the All games category redirects to Login page
• Ensure the Load More button shows more games as intended</t>
  </si>
  <si>
    <t>GAME-1663</t>
  </si>
  <si>
    <t>STAGING &amp; PROD: All games no longer filling up rows for larger desktops
- TLB 12/9/25 Desktop (Chrome)</t>
  </si>
  <si>
    <t>Logged out Lobby:
Load More Games and Select a Game</t>
  </si>
  <si>
    <t>• Select the Search bar and type in part of a game's name, the game's full name, and the game provider's name
• Launch the game in GC and play some spins
• Go back to lobby, change the coins to SC from the tabs in the upper right corner, launch the game in SC and play some spins</t>
  </si>
  <si>
    <t>• Ensure searching for part of the game's name, the full game's name or the Game provider's name would show the intended results as expected (Please note the search bar does not allow typos)
• Ensure the information in the game modal is correct (including the Play with Sweepstakes Coins/Gold Coins depending on the tab selected in the lobby)
• Ensure the game is able to be opened in both coin types
NOTE: Will change with new search function</t>
  </si>
  <si>
    <t>STAGING: No results are being shown when fully typing out the provider and the game title in
the search results
-TLB &amp; VL 11/17/25 Desktop (Chrome), Android (PWA + Browser), All iOS
ALL envs &amp; platforms: Searhc param does not auto-clear on lobby return</t>
  </si>
  <si>
    <t>• Select any game from the Popular now section
• Swipe right/left to navigate through the games in the Popular now section
• Select the arrows in Popular Now section</t>
  </si>
  <si>
    <t>• Ensure you can swipe right/left or that arrows work as intended
• Ensure the Popular now tiles show the following:
- Game thumbnail
- Game name
- Game provider
- Number of players
- Play button
• Ensure selecting any game from the Popular now section shows the game modal as intended
• Ensure you can open the game from said modal</t>
  </si>
  <si>
    <t>Logged in Lobby:
Check Popular now section</t>
  </si>
  <si>
    <t>• Select any Game category besides Lobby
• Swipe right/left to navigate through the Game categories
Note: On Mobile categories appear as "Filters" where you can filter out specific categories</t>
  </si>
  <si>
    <r>
      <rPr>
        <sz val="11"/>
        <color rgb="FF000000"/>
        <rFont val="Calibri"/>
      </rPr>
      <t xml:space="preserve">• Ensure selecting any Game category only shows the games from the selected category + the page footer below. All other Game categories shows not be visible.
• Ensure you can swipe right/left or that arrows work as intended
• Ensure "View all" button works as intended
• For </t>
    </r>
    <r>
      <rPr>
        <b/>
        <sz val="11"/>
        <color rgb="FFFF0000"/>
        <rFont val="Calibri"/>
      </rPr>
      <t>mobile</t>
    </r>
    <r>
      <rPr>
        <sz val="11"/>
        <color rgb="FF000000"/>
        <rFont val="Calibri"/>
      </rPr>
      <t>, ensure the filter button works as intended
NOTE: Will change with new search function</t>
    </r>
  </si>
  <si>
    <t xml:space="preserve">TLB PROD: Providers are included in the games category bar while the 'Our Providers' section is enabled.
- 12/19/25 Desktop (Chrome)
TLB STAGING: The Game categories bar does not fully scroll to the end and makes the 
final game category to be less visible to the user
- 12/29/25 Desktop (Chrome)
</t>
  </si>
  <si>
    <t>• Launch any game on GC or SC and then return to the Lobby</t>
  </si>
  <si>
    <t>• Ensure the first game in Continue Playing is the game you just launched</t>
  </si>
  <si>
    <t>• This section works as a paid spot for game developers to position their games higher, which means there is no relation to recently played games, etc.
• Swipe right right/left to navigate through the games
• Select the arrows in Recommended For You section
• Select "View all" button
• Select any game</t>
  </si>
  <si>
    <t>• Ensure you can swipe right/left or that arrows work as intended
• Ensure the "View all" button shows only the recommended games as intended
• Ensure any game from this category can be launched as intended</t>
  </si>
  <si>
    <t>• Ensure selecting the View all 10 games button shows the Top 10 games category (same behavior as selecting the Top 10 games category itself
• Ensure you can swipe right/left or that arrows work as intended
• Ensure the Top 10 games tiles show the following:
- Game thumbnail
- Game name
- Game provider
- Tag(s)
• Ensure selecting any game from the Popular now section shows the game modal as intended</t>
  </si>
  <si>
    <t>Only logged out lobby draft found</t>
  </si>
  <si>
    <t>• Select any game from the Latest Winners section
• Swipe right/left to navigate through the games in the Latest WInners section
• Select arrows in Latest Winners section</t>
  </si>
  <si>
    <t>• Ensure selecting any game from the Latest Winners section shows the game modal as intended
• Ensure you can swipe right/left or that arrows work as intended
• Ensure the Latest Winners tiles show the following:
- Game thumbnail
- Game name
- Game provider
- Player name
- GC or SC win
- State</t>
  </si>
  <si>
    <t>• Ensure selecting any game from the Popular now section shows the game modal as intended
• Ensure you can swipe right/left or that arrows work as intended
• Ensure the Hot Now section shows the following:
- Game thumbnail
- Player name
- State ("Winner" text below it)
- GC/SC win amount ("Biggest win" text below it)
• Ensure the selected game opens</t>
  </si>
  <si>
    <t>• Select the Lobby Game category (on mobile, it's the default unfiltered)
• Navigate up/down in the lobby to check the same Game categories found in the Game category bar
(Note: Game categories with 7 games or more will show the "View all" button and arrows to navigate thorugh the games. Same behavior found in the Top 10 games category described in row #29)</t>
  </si>
  <si>
    <t>• Ensure the same Game categories found in the category bar can be found as section in the lobby below
• Ensure you can swipe right/left or that arrows work as intended
• Ensure the "View all" button, arrows and swipe work as intended (when applicable)</t>
  </si>
  <si>
    <t>TLB STAGING: "View all" button directs the user to the footer instead of the header on the page.
- Android (APP version 1.0.0.10.1)</t>
  </si>
  <si>
    <t>• Ensure selecting any game from the All games category shows the game modal as intended
• Ensure the Load More button shows more games as intended</t>
  </si>
  <si>
    <t xml:space="preserve">
STAGING &amp; PROD: All games no longer filling up rows for larger desktops
- TLB 12/11/25 Desktop (Chrome)</t>
  </si>
  <si>
    <r>
      <rPr>
        <sz val="11"/>
        <color rgb="FF000000"/>
        <rFont val="Calibri"/>
      </rPr>
      <t xml:space="preserve">• Select Games tab
• For </t>
    </r>
    <r>
      <rPr>
        <b/>
        <sz val="11"/>
        <color rgb="FFFF0000"/>
        <rFont val="Calibri"/>
      </rPr>
      <t>mobile</t>
    </r>
    <r>
      <rPr>
        <sz val="11"/>
        <color rgb="FF000000"/>
        <rFont val="Calibri"/>
      </rPr>
      <t>, select the Games tab from the side bar and from the bottom navigation bar</t>
    </r>
  </si>
  <si>
    <r>
      <rPr>
        <sz val="11"/>
        <color rgb="FF000000"/>
        <rFont val="Calibri"/>
      </rPr>
      <t xml:space="preserve">• Ensure the Games tab redirects to Games page
• Ensure the banners, Popular Now, and Latest Winners are </t>
    </r>
    <r>
      <rPr>
        <b/>
        <u/>
        <sz val="11"/>
        <color rgb="FFFF0000"/>
        <rFont val="Calibri"/>
      </rPr>
      <t>NOT</t>
    </r>
    <r>
      <rPr>
        <sz val="11"/>
        <color rgb="FF000000"/>
        <rFont val="Calibri"/>
      </rPr>
      <t xml:space="preserve"> shown (everything else should be equal to the Lobby)
• For </t>
    </r>
    <r>
      <rPr>
        <b/>
        <sz val="11"/>
        <color rgb="FFFF0000"/>
        <rFont val="Calibri"/>
      </rPr>
      <t>mobile</t>
    </r>
    <r>
      <rPr>
        <sz val="11"/>
        <color rgb="FF000000"/>
        <rFont val="Calibri"/>
      </rPr>
      <t>, ensure the Games tab from the side bar and from the bottom navigation bar redirect to Games page</t>
    </r>
  </si>
  <si>
    <t>Only logged out lobby draft found
Request assertions:
• For mobile, Ensure the Games tab from the side bar and from the bottom navigation bar redirect to Games page</t>
  </si>
  <si>
    <t>Game Session Recap</t>
  </si>
  <si>
    <t>• Follow the next steps to trigger the modal:
- Launch Blackjack or Roulette (or any game with debug/cheat potential)
- Select a win using the debug/cheat menu
- Spin/Play
- Select Lobby tab
• The modal will trigger after a few seconds once you go back to the lobby
• Select the Play again option to ensure it redirects back to the same game
• Trigger the modal again but this time using the other Coin Type (If you were on SC change to GC and vice versa)
• This time select any of the games that appears in the Recommended For You section to ensure it redirects to the game selected</t>
  </si>
  <si>
    <r>
      <rPr>
        <sz val="11"/>
        <color theme="1"/>
        <rFont val="Calibri"/>
      </rPr>
      <t xml:space="preserve">• Ensure all elements, buttons, layout from the Game Session Recap modal are displayed properly, and that the text is correct
• Ensure the modal triggers as intended
• Ensure there is </t>
    </r>
    <r>
      <rPr>
        <b/>
        <u/>
        <sz val="11"/>
        <color rgb="FFFF0000"/>
        <rFont val="Calibri"/>
      </rPr>
      <t>NO</t>
    </r>
    <r>
      <rPr>
        <sz val="11"/>
        <color theme="1"/>
        <rFont val="Calibri"/>
      </rPr>
      <t xml:space="preserve"> mention of VIP points
• Ensure selecting 'Play again' redirects to the same game you just played as intended
• Ensure selecting any of the games from the Recommended For You section redirects to the game selected as intended</t>
    </r>
  </si>
  <si>
    <t xml:space="preserve">
GAME-1680
</t>
  </si>
  <si>
    <t xml:space="preserve">
VL STAGING: Game thumbnail appears vertically stretched in Game Results Section of Game Session Recap modal
- All platforms 12/18/25
TLB STAGING: Game thumbnail appears vertically stretched in Game Results Section of Game Session Recap modal
- All platforms 12/29/25</t>
  </si>
  <si>
    <t>GC only</t>
  </si>
  <si>
    <t xml:space="preserve">• Login to an existing account (Set IP to CA or add the User ID to Disable_SC_Play FF to enabled)
(QA Wolf team: Please use the CA IP instead of the feature flags)
• Hover over the SC tab at the top
</t>
  </si>
  <si>
    <t>• Ensure the SC tab is disabled and that it displayes the following text when hovering over it: Sweepstakes aren’t available in your location.</t>
  </si>
  <si>
    <r>
      <rPr>
        <sz val="11"/>
        <color theme="1"/>
        <rFont val="Calibri"/>
      </rPr>
      <t xml:space="preserve">• Login to an existing account (Set IP to CA or add the User ID to Disable_SC_Play FF to </t>
    </r>
    <r>
      <rPr>
        <i/>
        <sz val="11"/>
        <color theme="1"/>
        <rFont val="Calibri"/>
      </rPr>
      <t>enabled</t>
    </r>
    <r>
      <rPr>
        <sz val="11"/>
        <color theme="1"/>
        <rFont val="Calibri"/>
      </rPr>
      <t xml:space="preserve">)
(QA Wolf team: Please use the CA IP instead of the feature flags)
• Launch any game
</t>
    </r>
  </si>
  <si>
    <t>• Ensure the Sweepstakes coins toggle is not available in the game launch menu</t>
  </si>
  <si>
    <t>Modo Boxes (pending V2 rework) ⏸️</t>
  </si>
  <si>
    <t>Sidebar</t>
  </si>
  <si>
    <t>Modo Boxes</t>
  </si>
  <si>
    <t>• Navigate to Staging
◦ Open the sidebar if it's closed
• Click on the Modo Boxes button</t>
  </si>
  <si>
    <t>• Sidebar button is present
• Button redirects you to Modo Boxes landing page when clicked on</t>
  </si>
  <si>
    <t>GAME-731</t>
  </si>
  <si>
    <t>Banner</t>
  </si>
  <si>
    <t>• Navigate to Staging
• Click on the Modo Boxes banner</t>
  </si>
  <si>
    <t>• Banner is present
• Banner redirects you to Modo Boxes landing page when clicked on</t>
  </si>
  <si>
    <t>GAME-730</t>
  </si>
  <si>
    <t>Catalog Page</t>
  </si>
  <si>
    <t>Header</t>
  </si>
  <si>
    <t>• Observe the top-most area of the page</t>
  </si>
  <si>
    <t>• Header is fully viewable with no UI issues
• Description is correct</t>
  </si>
  <si>
    <t>How Modo Modo Boxes Work</t>
  </si>
  <si>
    <t>• Scroll to the middle of the page</t>
  </si>
  <si>
    <t>• Title is fully viewable with no UI issues
• Steps are fully viewable with no UI issues
◦ Step instructions are concise, informative, and accurate
◦ Step match the Modo Box opening experience</t>
  </si>
  <si>
    <t>FAQ</t>
  </si>
  <si>
    <t>• Scroll to the bottom of the page
• Click on the FAQ button</t>
  </si>
  <si>
    <t xml:space="preserve">• FAQ button correctly redirects to the FAQ page (https://support.modo.us/en_us/categories/frequently-asked-questions-Hkfe59O4ye)
</t>
  </si>
  <si>
    <t>Modo Boxes (Catalog)</t>
  </si>
  <si>
    <t>• Scroll back up to the top of the page</t>
  </si>
  <si>
    <t>• Observe the following elements are fully viewable and correct:
◦ Volatility label
◦ Box graphic
◦ Box name + description
◦ View Details button (also verify it is functional)</t>
  </si>
  <si>
    <t>Transition</t>
  </si>
  <si>
    <t>• Click on the View Details button
◦ Desktop -&gt; Modo Box &amp; Deluxe Box
◦ Android (Browser) -&gt; Home Box
◦ Android (PWA) -&gt; Lucky Box
◦ iOS (APP) -&gt; Tech Box
◦ iOS (Browser) -&gt; Gift Box</t>
  </si>
  <si>
    <t>Box Opening Page</t>
  </si>
  <si>
    <t>Modo Box (Wheel)</t>
  </si>
  <si>
    <t>• Click "Open for ###" button at the bottom of the wheel</t>
  </si>
  <si>
    <r>
      <rPr>
        <sz val="11"/>
        <color theme="1"/>
        <rFont val="Calibri"/>
      </rPr>
      <t xml:space="preserve">Pre-step: Note down your SC balance and VIP points before you test to save time later
• When wheel is </t>
    </r>
    <r>
      <rPr>
        <i/>
        <u/>
        <sz val="11"/>
        <color theme="1"/>
        <rFont val="Calibri"/>
      </rPr>
      <t>static</t>
    </r>
    <r>
      <rPr>
        <sz val="11"/>
        <color theme="1"/>
        <rFont val="Calibri"/>
      </rPr>
      <t>:
◦ Item graphics, names, and SC values are present with no UI issues (</t>
    </r>
    <r>
      <rPr>
        <i/>
        <sz val="11"/>
        <color theme="1"/>
        <rFont val="Calibri"/>
      </rPr>
      <t>e.g.</t>
    </r>
    <r>
      <rPr>
        <sz val="11"/>
        <color theme="1"/>
        <rFont val="Calibri"/>
      </rPr>
      <t xml:space="preserve"> truncations, overlaps, etc.)
◦ Button text is clearly readable, fully viewable, and correct (Open for...")
◦ Take note of the items you can see on the wheel for comparison later
• When wheel is </t>
    </r>
    <r>
      <rPr>
        <i/>
        <u/>
        <sz val="11"/>
        <color theme="1"/>
        <rFont val="Calibri"/>
      </rPr>
      <t>spinning</t>
    </r>
    <r>
      <rPr>
        <sz val="11"/>
        <color theme="1"/>
        <rFont val="Calibri"/>
      </rPr>
      <t>:
◦ Item graphics, names, and SC values are present with no UI issues (</t>
    </r>
    <r>
      <rPr>
        <i/>
        <sz val="11"/>
        <color theme="1"/>
        <rFont val="Calibri"/>
      </rPr>
      <t>e.g.</t>
    </r>
    <r>
      <rPr>
        <sz val="11"/>
        <color theme="1"/>
        <rFont val="Calibri"/>
      </rPr>
      <t xml:space="preserve"> frame drops, stutters, etc.)
◦ Button text is clearly readable, fully viewable, and correct ("Spinning Please wait.")
◦ Take note of the items you can see on the wheel for comparison later
• After a couple of box openings (5-10):
◦ Verify the SC was correctly deducted (Box value * # of box openings)
◦ Verify the VIP points were added (Box value * # of box openings)</t>
    </r>
  </si>
  <si>
    <t>GAME-1173</t>
  </si>
  <si>
    <t>Wheel opening</t>
  </si>
  <si>
    <t>• Wait for the prize modal to pop up after spinning -&gt; Common (White)/Umcommon (Green)/Rare (Blue)/Epic (Purple)/Legendary (Gold)</t>
  </si>
  <si>
    <t>• Item rarity name is correct
• Item rarity name is correctly colored
• Item background is correctly colored as per its rarity
• Item name has no UI issues</t>
  </si>
  <si>
    <t>• Wait for the prize modal to pop up after spinning -&gt; Receive SC</t>
  </si>
  <si>
    <t>• Receive # SC button has no issues
◦ UI is correct
◦ Works as intended (verify balance has updated after clicking)</t>
  </si>
  <si>
    <t>• Wait for the prize modal to pop up after spinning -&gt; Redeem Item</t>
  </si>
  <si>
    <t>• Redeem Item button has no issues
◦ UI is correct
◦ Works as intended
- Opens shipping modal on verified acct.
- Opens KYC flow on unverified acct. -&gt; redirected back to Shipping modal when flow is complete
- Pending verification (completed KYC but not verified in BO yet) can click on Redeem Item and continue</t>
  </si>
  <si>
    <t>• Click on "Redeem Item"
• Fill in the information for the shipping modal</t>
  </si>
  <si>
    <t>• Shipping modal fits comfortably on screen
• Attempt to insert special characters in the name section (should fail)
◦ مُحَمَّد爱丽*/-'()%$&amp;!@`~ñíéúóá
◦ Remove the arabic characters and reattempt (should fail)
◦ Remove the Chinese characters and reattempt (should fail)
◦ Remove the special characters (asterisk, forward slash, etc.) and reattempt (should succeed)
• Insert the remaining information (attempt fake information for a fail, and compliant one for a pass)
• Repeat the opening and redeeming, but this time click on the placeholder information to automatically add it, and then redeem
• Order details are correct
• Cancel button closes the modal and returns to the prize won modal
• Confirming shows the Prize Notification modal (the one with the gift image)</t>
  </si>
  <si>
    <t>GAME-1171</t>
  </si>
  <si>
    <t>Can also enter special characters and proceed with shipping</t>
  </si>
  <si>
    <t>• Clicking the 'Send me my Item' button shows an info popup
◦ Use console -&gt; network -&gt; throttling (Disable Cache &amp; enable 3G) to take a ss of the modal and verify the text there (or just record a small clip and view it after)
• Close button closes the modal and returns to the prize won modal</t>
  </si>
  <si>
    <t>Hold tight!
Your prize is on its way!
We've shipped it and it'll be at your door soon. Keep an eye on your inbox for tracking details.
Close</t>
  </si>
  <si>
    <t>• Scroll down a bit
• Click "Open for ###" button at the bottom of the viewable area</t>
  </si>
  <si>
    <t>^ Verify the same steps above for opening with the wheel button work the same, at least once</t>
  </si>
  <si>
    <t>• After winning an item, leave the page
• Navigate back to the Modo Boxes page and attempt to open an item</t>
  </si>
  <si>
    <t>• Previous prize modal should open up
◦ This is expected. We want users to only have a total of 1 item pending at a time</t>
  </si>
  <si>
    <t>• Deplete your funds
• Navigate back to the Modo Boxes page and attempt to open an item</t>
  </si>
  <si>
    <t>• Low funds modal should appear
• Opening button should be greyed-out</t>
  </si>
  <si>
    <t>Box items</t>
  </si>
  <si>
    <t>• Navigate between the wheel + the box items section</t>
  </si>
  <si>
    <t>• Cross-check that the items shown in the box details are on the wheel</t>
  </si>
  <si>
    <t>• Scroll down to the box items section</t>
  </si>
  <si>
    <t>• Header "Items in this box" is fully and correctly displayed
• All box items are fully viewable and correctly displayed
• Item descriptions are fully displayed and readable
• Item probability is correctly displayed
• Tracking, redemption, and information buttons are correctly displayed
◦ Only the Information button is functional as of now</t>
  </si>
  <si>
    <t>• Click on the information button for every item in the box</t>
  </si>
  <si>
    <t>• Header "Item details" is fully and correctly displayed
• Contents of the modal are fully and correctly displayed
◦ Item name
◦ Item brand/manufacturer
◦ Item description (also look out for any grammar/spelling errors)
◦ Outcome (color is correct as well)
◦ Shippable (color is correct as well)
◦ Exchangable (color is correct as well)
◦ SC value</t>
  </si>
  <si>
    <r>
      <rPr>
        <b/>
        <sz val="11"/>
        <color theme="1"/>
        <rFont val="Calibri"/>
      </rPr>
      <t xml:space="preserve">Testing notes:
</t>
    </r>
    <r>
      <rPr>
        <sz val="11"/>
        <color theme="1"/>
        <rFont val="Calibri"/>
      </rPr>
      <t>Back office is the admin area where we can search/edit accounts, add/remove games, promotions, banners, etc. Different teams have different accesses and uses for BO, for example, CS agents would only have read access to user accounts. QA have all read/edit accesses in the Staging environment but only read access in the Production environment.
These tests should be focused on the functionality and possible improvements to the workflows as this is exclusively used for admins and of course not client facing, which means UI issues are low priority.
There are 2 side bar menus in BO, the general one and the Player one which only appears if you select a User ID and access their specific information. The actions are similar but in the general side bar menu you see information from all users, while in the Player side bar menu you will see information related to the specific user you are looking at. (Note: BO can only be accessed through Desktop computer)</t>
    </r>
  </si>
  <si>
    <t>Improvement - The feature/section being tested works but could be improved</t>
  </si>
  <si>
    <t>N/A - The test case only applies to a column(s) or the feature is not ready to test yet</t>
  </si>
  <si>
    <t>Fail - The feature/section being tested is broken/blocked. Stops flow or high visibilty issue</t>
  </si>
  <si>
    <t>Check General - Games tab</t>
  </si>
  <si>
    <t>• Select the general Games tab
• Search any game by name and by Provider
• Select any Game ID
(Note: The Bulk update and Edit options are handled by the QA members in charged of uploading new games to Staging/Prod. No need to check these options for now)</t>
  </si>
  <si>
    <t>• Ensure all elements, buttons, layout are displayed properly, and that the text is correct
• Ensure the Search option works as intended
• Ensure selecting any Game ID redirects you to the Game info page (No need to edit info here)</t>
  </si>
  <si>
    <t>GAME-1338</t>
  </si>
  <si>
    <t>VL 11/12/25: Provider and Name search not working.</t>
  </si>
  <si>
    <t>Game Groups</t>
  </si>
  <si>
    <t>Check General - Game Groups tab (Previously known as Game Categories)</t>
  </si>
  <si>
    <r>
      <rPr>
        <sz val="11"/>
        <rFont val="Calibri"/>
      </rPr>
      <t xml:space="preserve">(Note: Game Groups are located just below the search bar (Top Games, Live Gaming Casino, etc.)
• Select the general Game Groups tab
• Select New and fill in the fields as follows:
- Name: You can enter any test name although we recommend using something that can help you recognize it (e.g. Test # date and your initials like "Test 1 12/25 FS")
- Slug: This is the text displayed in the URL, could use something like Test-1-1225-FS, following the name format
- Tag: Could be "Test"
- Icon URL: This is the category icon that appears next to the category name within the button. Could use this test image: </t>
    </r>
    <r>
      <rPr>
        <b/>
        <sz val="11"/>
        <rFont val="Calibri"/>
      </rPr>
      <t>https://modous-public-bucket.s3.amazonaws.com/icons/Modo.us.svg</t>
    </r>
    <r>
      <rPr>
        <sz val="11"/>
        <rFont val="Calibri"/>
      </rPr>
      <t xml:space="preserve">  </t>
    </r>
    <r>
      <rPr>
        <u/>
        <sz val="11"/>
        <color rgb="FF1155CC"/>
        <rFont val="Calibri"/>
      </rPr>
      <t>https://modous-public-bucket.s3.us-east-1.amazonaws.com/icons/Modo-Logo-vegas3.png</t>
    </r>
    <r>
      <rPr>
        <sz val="11"/>
        <rFont val="Calibri"/>
      </rPr>
      <t xml:space="preserve">
- Icon V2 URL: Can use </t>
    </r>
    <r>
      <rPr>
        <u/>
        <sz val="11"/>
        <color rgb="FF1155CC"/>
        <rFont val="Calibri"/>
      </rPr>
      <t>https://modous-public-bucket.s3.us-east-1.amazonaws.com/category-icons/jackpot-play/cyan.png</t>
    </r>
    <r>
      <rPr>
        <sz val="11"/>
        <rFont val="Calibri"/>
      </rPr>
      <t xml:space="preserve">
- Badges: Select any Badge you would like to use. These appear in the game's thumbnail
- Start/End Date: Can be left blank
- Cohorts will be tested in the Cohorts tab from this spreadsheet, can ignore for now
• Select Create
• Drag and drop the category created from the bottom of the list to the top, this will make it appear as the first category
• Select the Game Group ID, select Edit, Type in any Game name you would like to include in the category, uncheck the Is Restricted box and select Update</t>
    </r>
  </si>
  <si>
    <t>• Ensure all elements, buttons, layout are displayed properly, and that the text is correct
• Ensure the Game Group was created properly.
- Check on any test account to see if the Game Group is available in the Modo Lobby just below the "Popular now" section and below the latest winners section, and ensure that selecting the category will show the game you entered while updating the category.
• Ensure the category can be deleted once these previous tests have been completed. The category should not appear anymore once deleted.</t>
  </si>
  <si>
    <t>GAME-1549</t>
  </si>
  <si>
    <t>Game group cohorts</t>
  </si>
  <si>
    <t>Check Game Group cohorts</t>
  </si>
  <si>
    <t>• The same steps and information from Tournament cohorts apply here. Create a Game Group using the steps from the Game Groups section in the BO tab, and add at least 2 cohorts
• Find a test user that does not meet any of the cohorts selected
• Add the cohort conditions one by one and confirm if the Banner only appears once these conditions have been met</t>
  </si>
  <si>
    <t>• Ensure the Game Group can be created while using cohorts
• Ensure the cohorts added have been saved successfully once the Game Group has been created
• Ensure the test user cannot see the Game Group while their account does not meet the cohort conditions
• Ensure the user can see the Game Group once their account meets the cohort conditions (or test with another non-admin account that meets the cohort conditions)</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</si>
  <si>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</si>
  <si>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</si>
  <si>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</si>
  <si>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</si>
  <si>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</si>
  <si>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</si>
  <si>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</si>
  <si>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</si>
  <si>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</si>
  <si>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</si>
  <si>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</si>
  <si>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</si>
  <si>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</si>
  <si>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</si>
  <si>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</si>
  <si>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</si>
  <si>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</si>
  <si>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</si>
  <si>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</si>
  <si>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</si>
  <si>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</si>
  <si>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</si>
  <si>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</si>
  <si>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</si>
  <si>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</si>
  <si>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</si>
  <si>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</si>
  <si>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</si>
  <si>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</si>
  <si>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</si>
  <si>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</si>
  <si>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</si>
  <si>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</si>
  <si>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</si>
  <si>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</si>
  <si>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</si>
  <si>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</si>
  <si>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</si>
  <si>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</si>
  <si>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</si>
  <si>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</si>
  <si>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</si>
  <si>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</si>
  <si>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</si>
  <si>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</si>
  <si>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</si>
  <si>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</si>
  <si>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</si>
  <si>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</si>
  <si>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</si>
  <si>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</si>
  <si>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</si>
  <si>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</si>
  <si>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</si>
  <si>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</si>
  <si>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</si>
  <si>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</si>
  <si>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</si>
  <si>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</si>
  <si>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</si>
  <si>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</si>
  <si>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</si>
  <si>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</si>
  <si>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</si>
  <si>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</si>
  <si>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r>
      <rPr>
        <b/>
        <sz val="11"/>
        <color theme="1"/>
        <rFont val="Calibri"/>
      </rPr>
      <t xml:space="preserve">Testing notes:
</t>
    </r>
    <r>
      <rPr>
        <sz val="11"/>
        <color theme="1"/>
        <rFont val="Calibri"/>
      </rPr>
      <t>There are different types of games (Slots, Instant win, Dare to win, Table games, Live games) as well as different game aggregators (Publishers) and game providers (game dev studios).
The purpose of these tests is to Ensure the games run properly in the Staging environment as a pre check before deploying into the Production environment. (Although there are some exceptions where the games are tested directly in the Production environment while being hidden from real users)</t>
    </r>
  </si>
  <si>
    <t>Aggregator</t>
  </si>
  <si>
    <t>Game provider</t>
  </si>
  <si>
    <r>
      <rPr>
        <sz val="11"/>
        <color theme="1"/>
        <rFont val="Calibri"/>
      </rPr>
      <t xml:space="preserve">QA Comments </t>
    </r>
    <r>
      <rPr>
        <b/>
        <sz val="11"/>
        <color rgb="FFFF0000"/>
        <rFont val="Calibri"/>
      </rPr>
      <t>(Please add your initials to the comment)</t>
    </r>
  </si>
  <si>
    <t>Additional Info</t>
  </si>
  <si>
    <t>General checks for all games
(These checks only need to be tested once on any game)</t>
  </si>
  <si>
    <t>• Ensure the thumbnail (aka thumbnailLogo) of the game you are checking is displayed clearly and that the name on the thumbnail matches the name displayed when you select a game (Including symbols like ™, etc.)
• Ensure selecting any game opens the game preview modal
• Ensure all elements, buttons, layout from the game preview modal are displayed properly, including the following:
•In-game screenshot (aka popupLogo) is displayed clearly
• The name of the game is correct and matches the name on thumbnail
• The Gold coins and Sweepstakes coins buttons work as intended
• The top prize is displayed
• Min/Max is displayed
• Volatility is displayed
• The Play with Gold coins/Sweepstakes coins button work as intended
• For GC, Ensure you can't spin anymore if you spend all GC coins and try a new spin
• For GC, Ensure exiting the game after spending all GC coins would show a modal which gives 1000 GC coins for the user to keep playing
• For SC, Ensure you can't spin anymore if you spend all SC coins and try a new spin
• For SC, Ensure exiting the game would trigger a package discount offer to the player
• Ensure the game rules, menus, in-game buttons use the appropriate social casino language</t>
  </si>
  <si>
    <t>Booming</t>
  </si>
  <si>
    <t>• Play 1 spin on SC</t>
  </si>
  <si>
    <t>• Ensure the game launches properly and SC spins work as intended</t>
  </si>
  <si>
    <t>• Play 1 spin on GC</t>
  </si>
  <si>
    <t>• Ensure the game launches properly and GC spins work as intended</t>
  </si>
  <si>
    <t>Casimba</t>
  </si>
  <si>
    <t>3Oaks</t>
  </si>
  <si>
    <t>BGaming</t>
  </si>
  <si>
    <t>Evoplay</t>
  </si>
  <si>
    <t>• Play 1 spin on SC on a table game (E.x. Blackjack)</t>
  </si>
  <si>
    <t>• Play 1 spin on GC on a table game (E.x. Blackjack)</t>
  </si>
  <si>
    <t>Habanero</t>
  </si>
  <si>
    <t>Netgaming</t>
  </si>
  <si>
    <t>Playson</t>
  </si>
  <si>
    <t>RubyPlay</t>
  </si>
  <si>
    <t>Hacksaw</t>
  </si>
  <si>
    <t>Fizzy Bubbly</t>
  </si>
  <si>
    <t>Avatar UX</t>
  </si>
  <si>
    <t>Novomatic</t>
  </si>
  <si>
    <t>Rogue</t>
  </si>
  <si>
    <t>Pragmatic</t>
  </si>
  <si>
    <t>Relax</t>
  </si>
  <si>
    <t>4ThePlayer</t>
  </si>
  <si>
    <t>Avatar UX (Donkey &amp; The Goats/Gem Pops)</t>
  </si>
  <si>
    <t>Fantasma</t>
  </si>
  <si>
    <t>Four Leaf</t>
  </si>
  <si>
    <t>Peter &amp; Sons</t>
  </si>
  <si>
    <t>Print</t>
  </si>
  <si>
    <t>Vivo</t>
  </si>
  <si>
    <t>Row #</t>
  </si>
  <si>
    <t>Tab name</t>
  </si>
  <si>
    <t>Issue Type</t>
  </si>
  <si>
    <t>Next steps/comments</t>
  </si>
  <si>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</si>
  <si>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</si>
  <si>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</si>
  <si>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</si>
  <si>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</si>
  <si>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</si>
  <si>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</si>
  <si>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</si>
  <si>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</si>
  <si>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</si>
  <si>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</si>
  <si>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</si>
  <si>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</si>
  <si>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</si>
  <si>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</si>
  <si>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</si>
  <si>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</si>
  <si>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</si>
  <si>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</si>
  <si>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</si>
  <si>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</si>
  <si>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</si>
  <si>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</si>
  <si>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</si>
  <si>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</si>
  <si>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</si>
  <si>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</si>
  <si>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</si>
  <si>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</si>
  <si>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</si>
  <si>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</si>
  <si>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</si>
  <si>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</si>
  <si>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</si>
  <si>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</si>
  <si>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</si>
  <si>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</si>
  <si>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</si>
  <si>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</si>
  <si>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</si>
  <si>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</si>
  <si>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</si>
  <si>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</si>
  <si>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</si>
  <si>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</si>
  <si>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</si>
  <si>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</si>
  <si>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</si>
  <si>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</si>
  <si>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</si>
  <si>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</si>
  <si>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</si>
  <si>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</si>
  <si>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</si>
  <si>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</si>
  <si>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r>
      <rPr>
        <sz val="11"/>
        <color theme="1"/>
        <rFont val="Calibri"/>
      </rPr>
      <t xml:space="preserve">Staging </t>
    </r>
    <r>
      <rPr>
        <sz val="11"/>
        <color rgb="FF000000"/>
        <rFont val="Calibri"/>
      </rPr>
      <t>Modo.us</t>
    </r>
  </si>
  <si>
    <t>78</t>
  </si>
  <si>
    <r>
      <rPr>
        <sz val="11"/>
        <color theme="1"/>
        <rFont val="Calibri"/>
      </rPr>
      <t xml:space="preserve">Staging </t>
    </r>
    <r>
      <rPr>
        <sz val="11"/>
        <color rgb="FF000000"/>
        <rFont val="Calibri"/>
      </rPr>
      <t>Modo.us</t>
    </r>
  </si>
  <si>
    <t>79</t>
  </si>
  <si>
    <r>
      <rPr>
        <sz val="11"/>
        <color theme="1"/>
        <rFont val="Calibri"/>
      </rPr>
      <t xml:space="preserve">Staging </t>
    </r>
    <r>
      <rPr>
        <sz val="11"/>
        <color rgb="FF000000"/>
        <rFont val="Calibri"/>
      </rPr>
      <t>Modo.us</t>
    </r>
  </si>
  <si>
    <t>86</t>
  </si>
  <si>
    <r>
      <rPr>
        <sz val="11"/>
        <color theme="1"/>
        <rFont val="Calibri"/>
      </rPr>
      <t xml:space="preserve">Staging </t>
    </r>
    <r>
      <rPr>
        <sz val="11"/>
        <color rgb="FF000000"/>
        <rFont val="Calibri"/>
      </rPr>
      <t>Modo.us</t>
    </r>
  </si>
  <si>
    <t>87</t>
  </si>
  <si>
    <r>
      <rPr>
        <sz val="11"/>
        <color theme="1"/>
        <rFont val="Calibri"/>
      </rPr>
      <t xml:space="preserve">Staging </t>
    </r>
    <r>
      <rPr>
        <sz val="11"/>
        <color rgb="FF000000"/>
        <rFont val="Calibri"/>
      </rPr>
      <t>Modo.us</t>
    </r>
  </si>
  <si>
    <t>88</t>
  </si>
  <si>
    <r>
      <rPr>
        <sz val="11"/>
        <color theme="1"/>
        <rFont val="Calibri"/>
      </rPr>
      <t xml:space="preserve">Staging </t>
    </r>
    <r>
      <rPr>
        <sz val="11"/>
        <color rgb="FF000000"/>
        <rFont val="Calibri"/>
      </rPr>
      <t>Modo.us</t>
    </r>
  </si>
  <si>
    <t>89</t>
  </si>
  <si>
    <r>
      <rPr>
        <sz val="11"/>
        <color theme="1"/>
        <rFont val="Calibri"/>
      </rPr>
      <t xml:space="preserve">Staging </t>
    </r>
    <r>
      <rPr>
        <sz val="11"/>
        <color rgb="FF000000"/>
        <rFont val="Calibri"/>
      </rPr>
      <t>Modo.us</t>
    </r>
  </si>
  <si>
    <t>90</t>
  </si>
  <si>
    <r>
      <rPr>
        <sz val="11"/>
        <color theme="1"/>
        <rFont val="Calibri"/>
      </rPr>
      <t xml:space="preserve">Staging </t>
    </r>
    <r>
      <rPr>
        <sz val="11"/>
        <color rgb="FF000000"/>
        <rFont val="Calibri"/>
      </rPr>
      <t>Modo.us</t>
    </r>
  </si>
  <si>
    <t>91</t>
  </si>
  <si>
    <r>
      <rPr>
        <sz val="11"/>
        <color theme="1"/>
        <rFont val="Calibri"/>
      </rPr>
      <t xml:space="preserve">Staging </t>
    </r>
    <r>
      <rPr>
        <sz val="11"/>
        <color rgb="FF000000"/>
        <rFont val="Calibri"/>
      </rPr>
      <t>Modo.us</t>
    </r>
  </si>
  <si>
    <t>92</t>
  </si>
  <si>
    <r>
      <rPr>
        <sz val="11"/>
        <color theme="1"/>
        <rFont val="Calibri"/>
      </rPr>
      <t xml:space="preserve">Staging </t>
    </r>
    <r>
      <rPr>
        <sz val="11"/>
        <color rgb="FF000000"/>
        <rFont val="Calibri"/>
      </rPr>
      <t>Modo.us</t>
    </r>
  </si>
  <si>
    <t>93</t>
  </si>
  <si>
    <r>
      <rPr>
        <sz val="11"/>
        <color theme="1"/>
        <rFont val="Calibri"/>
      </rPr>
      <t xml:space="preserve">Staging </t>
    </r>
    <r>
      <rPr>
        <sz val="11"/>
        <color rgb="FF000000"/>
        <rFont val="Calibri"/>
      </rPr>
      <t>Modo.us</t>
    </r>
  </si>
  <si>
    <t>94</t>
  </si>
  <si>
    <r>
      <rPr>
        <sz val="11"/>
        <color theme="1"/>
        <rFont val="Calibri"/>
      </rPr>
      <t xml:space="preserve">Staging </t>
    </r>
    <r>
      <rPr>
        <sz val="11"/>
        <color rgb="FF000000"/>
        <rFont val="Calibri"/>
      </rPr>
      <t>Modo.us</t>
    </r>
  </si>
  <si>
    <t>95</t>
  </si>
  <si>
    <r>
      <rPr>
        <sz val="11"/>
        <color theme="1"/>
        <rFont val="Calibri"/>
      </rPr>
      <t xml:space="preserve">Staging </t>
    </r>
    <r>
      <rPr>
        <sz val="11"/>
        <color rgb="FF000000"/>
        <rFont val="Calibri"/>
      </rPr>
      <t>Modo.us</t>
    </r>
  </si>
  <si>
    <t>96</t>
  </si>
  <si>
    <r>
      <rPr>
        <sz val="11"/>
        <color theme="1"/>
        <rFont val="Calibri"/>
      </rPr>
      <t xml:space="preserve">Staging </t>
    </r>
    <r>
      <rPr>
        <sz val="11"/>
        <color rgb="FF000000"/>
        <rFont val="Calibri"/>
      </rPr>
      <t>Modo.us</t>
    </r>
  </si>
  <si>
    <t>97</t>
  </si>
  <si>
    <r>
      <rPr>
        <sz val="11"/>
        <color theme="1"/>
        <rFont val="Calibri"/>
      </rPr>
      <t xml:space="preserve">Staging </t>
    </r>
    <r>
      <rPr>
        <sz val="11"/>
        <color rgb="FF000000"/>
        <rFont val="Calibri"/>
      </rPr>
      <t>Modo.us</t>
    </r>
  </si>
  <si>
    <t>Giveaways/Tournaments</t>
  </si>
  <si>
    <t>Bug</t>
  </si>
  <si>
    <t>Question</t>
  </si>
  <si>
    <t>Low</t>
  </si>
  <si>
    <t>Bug logged</t>
  </si>
  <si>
    <t>Investigating</t>
  </si>
  <si>
    <t>Fiserv is weird, juan working on more visibility to see what errors are</t>
  </si>
  <si>
    <t>Medium</t>
  </si>
  <si>
    <t>Dev's fixing</t>
  </si>
  <si>
    <t>Test cards</t>
  </si>
  <si>
    <t>Pay processor documentation</t>
  </si>
  <si>
    <t>Test Routing number</t>
  </si>
  <si>
    <t>Visa</t>
  </si>
  <si>
    <t>DECORAH BANK &amp; TRUST COMPANY</t>
  </si>
  <si>
    <t>Debit/3DS
4099000000001960</t>
  </si>
  <si>
    <t>Test cards - https://www.checkout.com/docs/developer-resources/testing/test-cards</t>
  </si>
  <si>
    <t>073921695</t>
  </si>
  <si>
    <t>Credit
4147463011110083</t>
  </si>
  <si>
    <t>CVV check - https://www.checkout.com/docs/developer-resources/testing/simulate-card-verification-outcomes</t>
  </si>
  <si>
    <t>AVS check - https://www.checkout.com/docs/developer-resources/testing/avs-check-testing</t>
  </si>
  <si>
    <t>Mastercard</t>
  </si>
  <si>
    <t>Credit/3DS
5544330000000235</t>
  </si>
  <si>
    <t>Test cards - https://docs.fiserv.com/docs/payments/ZG9jOjgwMjA1NjY-test-card-numbers</t>
  </si>
  <si>
    <t>Amex</t>
  </si>
  <si>
    <t>Credit
345678901234564</t>
  </si>
  <si>
    <t>Discover</t>
  </si>
  <si>
    <t>Credit
6011111111111117</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</si>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</sst>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yy"/>
    <numFmt numFmtId="165" formatCode="####\ ####\ ####\ ####\ ####"/>
  </numFmts>
  <fonts count="59">
    <font>
      <sz val="10"/>
      <color rgb="FF000000"/>
      <name val="Arial"/>
      <scheme val="minor"/>
    </font>
    <font>
      <sz val="10"/>
      <color theme="1"/>
      <name val="Arial"/>
      <scheme val="minor"/>
    </font>
    <font>
      <b/>
      <sz val="10"/>
      <color rgb="FFFFFF00"/>
      <name val="Arial"/>
      <scheme val="minor"/>
    </font>
    <font>
      <sz val="11"/>
      <color rgb="FF000000"/>
      <name val="Calibri"/>
    </font>
    <font>
      <b/>
      <sz val="11"/>
      <color rgb="FF000000"/>
      <name val="Calibri"/>
    </font>
    <font>
      <b/>
      <sz val="11"/>
      <color theme="1"/>
      <name val="Calibri"/>
    </font>
    <font>
      <sz val="11"/>
      <color theme="0"/>
      <name val="Calibri"/>
    </font>
    <font>
      <sz val="11"/>
      <color rgb="FFFFFFFF"/>
      <name val="Calibri"/>
    </font>
    <font>
      <sz val="11"/>
      <color theme="1"/>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434343"/>
      <name val="Calibri"/>
    </font>
    <font>
      <u/>
      <sz val="11"/>
      <color rgb="FF434343"/>
      <name val="Calibri"/>
    </font>
    <font>
      <b/>
      <sz val="10"/>
      <color rgb="FFFF0000"/>
      <name val="Arial"/>
      <scheme val="minor"/>
    </font>
    <font>
      <sz val="10"/>
      <color rgb="FF0000FF"/>
      <name val="Arial"/>
      <scheme val="minor"/>
    </font>
    <font>
      <u/>
      <sz val="10"/>
      <color rgb="FF0000FF"/>
      <name val="Roboto"/>
    </font>
    <font>
      <u/>
      <sz val="10"/>
      <color rgb="FF0000FF"/>
      <name val="Roboto"/>
    </font>
    <font>
      <u/>
      <sz val="10"/>
      <color rgb="FF0000FF"/>
      <name val="Roboto"/>
    </font>
    <font>
      <u/>
      <sz val="10"/>
      <color rgb="FF434343"/>
      <name val="Roboto"/>
    </font>
    <font>
      <sz val="11"/>
      <color theme="1"/>
      <name val="Arial"/>
      <scheme val="minor"/>
    </font>
    <font>
      <sz val="10"/>
      <color theme="1"/>
      <name val="Arial"/>
    </font>
    <font>
      <u/>
      <sz val="10"/>
      <color rgb="FF0000FF"/>
      <name val="Roboto"/>
    </font>
    <font>
      <sz val="10"/>
      <color rgb="FF215A6C"/>
      <name val="Roboto"/>
    </font>
    <font>
      <sz val="10"/>
      <color rgb="FF434343"/>
      <name val="Roboto"/>
    </font>
    <font>
      <b/>
      <sz val="16"/>
      <color rgb="FFD9D2E9"/>
      <name val="Calibri"/>
    </font>
    <font>
      <sz val="10"/>
      <color theme="1"/>
      <name val="Calibri"/>
    </font>
    <font>
      <b/>
      <sz val="11"/>
      <color rgb="FFFFFFFF"/>
      <name val="Calibri"/>
    </font>
    <font>
      <sz val="10"/>
      <name val="Arial"/>
    </font>
    <font>
      <u/>
      <sz val="11"/>
      <color rgb="FF0000FF"/>
      <name val="Calibri"/>
    </font>
    <font>
      <u/>
      <sz val="11"/>
      <color rgb="FF0000FF"/>
      <name val="Calibri"/>
    </font>
    <font>
      <u/>
      <sz val="11"/>
      <color rgb="FF1155CC"/>
      <name val="Calibri"/>
    </font>
    <font>
      <u/>
      <sz val="11"/>
      <color theme="1"/>
      <name val="Calibri"/>
    </font>
    <font>
      <u/>
      <sz val="10"/>
      <color rgb="FF0000FF"/>
      <name val="Roboto"/>
    </font>
    <font>
      <i/>
      <sz val="11"/>
      <color theme="1"/>
      <name val="Calibri"/>
    </font>
    <font>
      <i/>
      <sz val="11"/>
      <color rgb="FFFF0000"/>
      <name val="Calibri"/>
    </font>
    <font>
      <b/>
      <sz val="10"/>
      <color rgb="FF000000"/>
      <name val="Calibri"/>
    </font>
    <font>
      <b/>
      <sz val="9"/>
      <color theme="1"/>
      <name val="Calibri"/>
    </font>
    <font>
      <u/>
      <sz val="10"/>
      <color rgb="FF0000FF"/>
      <name val="Arial"/>
    </font>
    <font>
      <strike/>
      <sz val="10"/>
      <color theme="1"/>
      <name val="Arial"/>
    </font>
    <font>
      <u/>
      <sz val="10"/>
      <color rgb="FF1155CC"/>
      <name val="Arial"/>
    </font>
    <font>
      <b/>
      <sz val="10"/>
      <color theme="1"/>
      <name val="Arial"/>
    </font>
    <font>
      <sz val="12"/>
      <color rgb="FFFFFFFF"/>
      <name val="Anek Latin"/>
    </font>
    <font>
      <b/>
      <sz val="11"/>
      <color rgb="FFFF0000"/>
      <name val="Calibri"/>
    </font>
    <font>
      <u/>
      <sz val="11"/>
      <color rgb="FF434343"/>
      <name val="Calibri"/>
    </font>
    <font>
      <u/>
      <sz val="11"/>
      <color rgb="FF0000FF"/>
      <name val="Calibri"/>
    </font>
    <font>
      <u/>
      <sz val="11"/>
      <color rgb="FF0000FF"/>
      <name val="Calibri"/>
    </font>
    <font>
      <sz val="10"/>
      <color rgb="FFFF9900"/>
      <name val="Arial"/>
      <scheme val="minor"/>
    </font>
    <font>
      <sz val="10"/>
      <color rgb="FF000000"/>
      <name val="Arial"/>
    </font>
    <font>
      <u/>
      <sz val="10"/>
      <color rgb="FF434343"/>
      <name val="Arial"/>
    </font>
    <font>
      <sz val="11"/>
      <name val="Calibri"/>
    </font>
    <font>
      <sz val="9"/>
      <color theme="1"/>
      <name val="Calibri"/>
    </font>
    <font>
      <b/>
      <u/>
      <sz val="11"/>
      <color theme="1"/>
      <name val="Calibri"/>
    </font>
    <font>
      <b/>
      <u/>
      <sz val="11"/>
      <color rgb="FFFF0000"/>
      <name val="Calibri"/>
    </font>
    <font>
      <i/>
      <u/>
      <sz val="11"/>
      <color theme="1"/>
      <name val="Calibri"/>
    </font>
    <font>
      <b/>
      <sz val="11"/>
      <name val="Calibri"/>
    </font>
  </fonts>
  <fills count="17">
    <fill>
      <patternFill patternType="none"/>
    </fill>
    <fill>
      <patternFill patternType="gray125"/>
    </fill>
    <fill>
      <patternFill patternType="solid">
        <fgColor rgb="FF666666"/>
        <bgColor rgb="FF666666"/>
      </patternFill>
    </fill>
    <fill>
      <patternFill patternType="solid">
        <fgColor rgb="FF999999"/>
        <bgColor rgb="FF999999"/>
      </patternFill>
    </fill>
    <fill>
      <patternFill patternType="solid">
        <fgColor rgb="FFF6F8F9"/>
        <bgColor rgb="FFF6F8F9"/>
      </patternFill>
    </fill>
    <fill>
      <patternFill patternType="solid">
        <fgColor rgb="FFFFFFFF"/>
        <bgColor rgb="FFFFFFFF"/>
      </patternFill>
    </fill>
    <fill>
      <patternFill patternType="solid">
        <fgColor rgb="FF674EA7"/>
        <bgColor rgb="FF674EA7"/>
      </patternFill>
    </fill>
    <fill>
      <patternFill patternType="solid">
        <fgColor rgb="FFEFEFEF"/>
        <bgColor rgb="FFEFEFEF"/>
      </patternFill>
    </fill>
    <fill>
      <patternFill patternType="solid">
        <fgColor rgb="FFCCCCCC"/>
        <bgColor rgb="FFCCCCCC"/>
      </patternFill>
    </fill>
    <fill>
      <patternFill patternType="solid">
        <fgColor rgb="FFB7B7B7"/>
        <bgColor rgb="FFB7B7B7"/>
      </patternFill>
    </fill>
    <fill>
      <patternFill patternType="solid">
        <fgColor rgb="FFF4CCCC"/>
        <bgColor rgb="FFF4CCCC"/>
      </patternFill>
    </fill>
    <fill>
      <patternFill patternType="solid">
        <fgColor rgb="FFCFE2F3"/>
        <bgColor rgb="FFCFE2F3"/>
      </patternFill>
    </fill>
    <fill>
      <patternFill patternType="solid">
        <fgColor rgb="FF6AA84F"/>
        <bgColor rgb="FF6AA84F"/>
      </patternFill>
    </fill>
    <fill>
      <patternFill patternType="solid">
        <fgColor rgb="FFFFFF00"/>
        <bgColor rgb="FFFFFF00"/>
      </patternFill>
    </fill>
    <fill>
      <patternFill patternType="solid">
        <fgColor rgb="FF0000FF"/>
        <bgColor rgb="FF0000FF"/>
      </patternFill>
    </fill>
    <fill>
      <patternFill patternType="solid">
        <fgColor rgb="FF4A86E8"/>
        <bgColor rgb="FF4A86E8"/>
      </patternFill>
    </fill>
    <fill>
      <patternFill patternType="solid">
        <fgColor rgb="FF0B5394"/>
        <bgColor rgb="FF0B539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F6F8F9"/>
      </right>
      <top style="thin">
        <color rgb="FFF6F8F9"/>
      </top>
      <bottom style="thin">
        <color rgb="FFF6F8F9"/>
      </bottom>
      <diagonal/>
    </border>
    <border>
      <left style="thin">
        <color rgb="FF000000"/>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91">
    <xf numFmtId="0" fontId="0" fillId="0" borderId="0" xfId="0"/>
    <xf numFmtId="0" fontId="1" fillId="0" borderId="0" xfId="0" applyFont="1"/>
    <xf numFmtId="0" fontId="2" fillId="2" borderId="0" xfId="0" applyFont="1" applyFill="1"/>
    <xf numFmtId="0" fontId="1" fillId="2" borderId="0" xfId="0" applyFont="1" applyFill="1"/>
    <xf numFmtId="0" fontId="3" fillId="0" borderId="1" xfId="0" applyFont="1" applyBorder="1" applyAlignment="1">
      <alignment horizontal="center"/>
    </xf>
    <xf numFmtId="0" fontId="4" fillId="0" borderId="1" xfId="0" applyFont="1" applyBorder="1" applyAlignment="1">
      <alignment horizontal="center"/>
    </xf>
    <xf numFmtId="10" fontId="3" fillId="0" borderId="1" xfId="0" applyNumberFormat="1" applyFont="1" applyBorder="1" applyAlignment="1">
      <alignment horizontal="center"/>
    </xf>
    <xf numFmtId="0" fontId="5" fillId="0" borderId="1" xfId="0" applyFont="1" applyBorder="1" applyAlignment="1">
      <alignment horizontal="center"/>
    </xf>
    <xf numFmtId="0" fontId="4" fillId="0" borderId="0" xfId="0" applyFont="1" applyAlignment="1">
      <alignment horizontal="center"/>
    </xf>
    <xf numFmtId="10" fontId="3" fillId="0" borderId="0" xfId="0" applyNumberFormat="1" applyFont="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10" fontId="3" fillId="0" borderId="2" xfId="0" applyNumberFormat="1" applyFont="1" applyBorder="1" applyAlignment="1">
      <alignment horizontal="center"/>
    </xf>
    <xf numFmtId="10" fontId="3" fillId="0" borderId="3" xfId="0" applyNumberFormat="1" applyFont="1" applyBorder="1" applyAlignment="1">
      <alignment horizontal="center"/>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vertical="center"/>
    </xf>
    <xf numFmtId="0" fontId="8" fillId="0" borderId="0" xfId="0" applyFont="1" applyAlignment="1">
      <alignment horizontal="center" vertical="center"/>
    </xf>
    <xf numFmtId="0" fontId="10" fillId="0" borderId="3" xfId="0" applyFont="1" applyBorder="1" applyAlignment="1">
      <alignment vertical="center"/>
    </xf>
    <xf numFmtId="0" fontId="8" fillId="0" borderId="4" xfId="0" applyFont="1" applyBorder="1" applyAlignment="1">
      <alignment horizontal="center" vertical="center"/>
    </xf>
    <xf numFmtId="0" fontId="11" fillId="0" borderId="5" xfId="0" applyFont="1" applyBorder="1" applyAlignment="1">
      <alignment vertical="center"/>
    </xf>
    <xf numFmtId="0" fontId="12" fillId="0" borderId="0" xfId="0" applyFont="1" applyAlignment="1">
      <alignment vertical="center" wrapText="1"/>
    </xf>
    <xf numFmtId="0" fontId="8" fillId="0" borderId="5" xfId="0" applyFont="1" applyBorder="1" applyAlignment="1">
      <alignment vertical="center"/>
    </xf>
    <xf numFmtId="0" fontId="8" fillId="0" borderId="3" xfId="0" applyFont="1" applyBorder="1" applyAlignment="1">
      <alignment vertical="center"/>
    </xf>
    <xf numFmtId="0" fontId="8" fillId="3" borderId="4" xfId="0" applyFont="1" applyFill="1" applyBorder="1" applyAlignment="1">
      <alignment horizontal="center" vertical="center"/>
    </xf>
    <xf numFmtId="0" fontId="8" fillId="0" borderId="4" xfId="0" applyFont="1" applyBorder="1" applyAlignment="1">
      <alignment vertical="center"/>
    </xf>
    <xf numFmtId="0" fontId="3" fillId="0" borderId="0" xfId="0" applyFont="1" applyAlignment="1">
      <alignment vertical="center"/>
    </xf>
    <xf numFmtId="0" fontId="13" fillId="4" borderId="6" xfId="0" applyFont="1" applyFill="1" applyBorder="1" applyAlignment="1">
      <alignment vertical="center"/>
    </xf>
    <xf numFmtId="0" fontId="14" fillId="5" borderId="7" xfId="0" applyFont="1" applyFill="1" applyBorder="1" applyAlignment="1">
      <alignment vertical="center"/>
    </xf>
    <xf numFmtId="0" fontId="15" fillId="0" borderId="3" xfId="0" applyFont="1" applyBorder="1" applyAlignment="1">
      <alignment vertical="center"/>
    </xf>
    <xf numFmtId="0" fontId="8" fillId="3" borderId="0" xfId="0" applyFont="1" applyFill="1" applyAlignment="1">
      <alignment horizontal="center" vertical="center"/>
    </xf>
    <xf numFmtId="0" fontId="8" fillId="0" borderId="0" xfId="0" applyFont="1" applyAlignment="1">
      <alignment vertical="center"/>
    </xf>
    <xf numFmtId="0" fontId="16" fillId="5" borderId="7" xfId="0" applyFont="1" applyFill="1" applyBorder="1" applyAlignment="1">
      <alignment vertical="center"/>
    </xf>
    <xf numFmtId="0" fontId="17" fillId="0" borderId="0" xfId="0" applyFont="1" applyAlignment="1">
      <alignment horizontal="center"/>
    </xf>
    <xf numFmtId="0" fontId="17" fillId="0" borderId="0" xfId="0" applyFont="1" applyAlignment="1">
      <alignment horizontal="right"/>
    </xf>
    <xf numFmtId="0" fontId="17" fillId="0" borderId="0" xfId="0" applyFont="1"/>
    <xf numFmtId="0" fontId="18"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xf>
    <xf numFmtId="0" fontId="19" fillId="0" borderId="0" xfId="0" applyFont="1" applyAlignment="1">
      <alignment horizontal="center" vertical="center"/>
    </xf>
    <xf numFmtId="0" fontId="20" fillId="0" borderId="0" xfId="0" applyFont="1" applyAlignment="1">
      <alignment horizontal="center" vertical="center"/>
    </xf>
    <xf numFmtId="0" fontId="1" fillId="0" borderId="0" xfId="0" applyFont="1" applyAlignment="1">
      <alignment horizontal="left" vertical="center" wrapText="1"/>
    </xf>
    <xf numFmtId="0" fontId="1" fillId="0" borderId="0" xfId="0" quotePrefix="1" applyFont="1" applyAlignment="1">
      <alignment vertical="center"/>
    </xf>
    <xf numFmtId="0" fontId="21" fillId="0" borderId="0" xfId="0" applyFont="1" applyAlignment="1">
      <alignment vertical="center"/>
    </xf>
    <xf numFmtId="0" fontId="1" fillId="0" borderId="0" xfId="0" applyFont="1" applyAlignment="1">
      <alignment vertical="center" wrapText="1"/>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xf numFmtId="0" fontId="1" fillId="0" borderId="8" xfId="0" applyFont="1" applyBorder="1" applyAlignment="1">
      <alignment horizontal="center" vertical="center"/>
    </xf>
    <xf numFmtId="0" fontId="1" fillId="0" borderId="9" xfId="0" applyFont="1" applyBorder="1" applyAlignment="1">
      <alignment vertical="center"/>
    </xf>
    <xf numFmtId="0" fontId="1" fillId="0" borderId="9" xfId="0" applyFont="1" applyBorder="1" applyAlignment="1">
      <alignment horizontal="center" vertical="center"/>
    </xf>
    <xf numFmtId="0" fontId="25" fillId="0" borderId="9" xfId="0" applyFont="1" applyBorder="1" applyAlignment="1">
      <alignment horizontal="center" vertical="center"/>
    </xf>
    <xf numFmtId="0" fontId="1" fillId="0" borderId="10" xfId="0" applyFont="1" applyBorder="1" applyAlignment="1">
      <alignment horizontal="center" vertical="center"/>
    </xf>
    <xf numFmtId="0" fontId="26" fillId="4" borderId="0" xfId="0" applyFont="1" applyFill="1" applyAlignment="1">
      <alignment horizontal="center" vertical="center"/>
    </xf>
    <xf numFmtId="0" fontId="27" fillId="4" borderId="0" xfId="0" applyFont="1" applyFill="1" applyAlignment="1">
      <alignment vertical="center"/>
    </xf>
    <xf numFmtId="0" fontId="24" fillId="4" borderId="0" xfId="0" applyFont="1" applyFill="1" applyAlignment="1">
      <alignment vertical="center"/>
    </xf>
    <xf numFmtId="0" fontId="27" fillId="4" borderId="0" xfId="0" applyFont="1" applyFill="1" applyAlignment="1">
      <alignment horizontal="center" vertical="center"/>
    </xf>
    <xf numFmtId="0" fontId="3" fillId="0" borderId="0" xfId="0" applyFont="1" applyAlignment="1">
      <alignment horizontal="center"/>
    </xf>
    <xf numFmtId="0" fontId="8" fillId="0" borderId="0" xfId="0" applyFont="1" applyAlignment="1">
      <alignment horizontal="center"/>
    </xf>
    <xf numFmtId="0" fontId="3" fillId="8" borderId="1" xfId="0" applyFont="1" applyFill="1" applyBorder="1" applyAlignment="1">
      <alignment horizontal="center"/>
    </xf>
    <xf numFmtId="0" fontId="8" fillId="8" borderId="1" xfId="0" applyFont="1" applyFill="1" applyBorder="1" applyAlignment="1">
      <alignment horizontal="center"/>
    </xf>
    <xf numFmtId="0" fontId="29" fillId="7" borderId="1" xfId="0" applyFont="1" applyFill="1" applyBorder="1" applyAlignment="1">
      <alignment wrapText="1"/>
    </xf>
    <xf numFmtId="0" fontId="29" fillId="7" borderId="1" xfId="0" applyFont="1" applyFill="1" applyBorder="1"/>
    <xf numFmtId="0" fontId="30" fillId="7" borderId="11" xfId="0" applyFont="1" applyFill="1" applyBorder="1" applyAlignment="1">
      <alignment horizontal="left" vertical="top" wrapText="1"/>
    </xf>
    <xf numFmtId="0" fontId="30" fillId="7" borderId="12" xfId="0" applyFont="1" applyFill="1" applyBorder="1" applyAlignment="1">
      <alignment horizontal="left" vertical="top" wrapText="1"/>
    </xf>
    <xf numFmtId="0" fontId="4" fillId="9" borderId="13" xfId="0" applyFont="1" applyFill="1" applyBorder="1" applyAlignment="1">
      <alignment horizontal="center" vertical="center" wrapText="1"/>
    </xf>
    <xf numFmtId="0" fontId="3" fillId="0" borderId="1" xfId="0" applyFont="1" applyBorder="1" applyAlignment="1">
      <alignment horizontal="center" vertical="center" wrapText="1"/>
    </xf>
    <xf numFmtId="0" fontId="32"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8" fillId="0" borderId="2" xfId="0" applyFont="1" applyBorder="1" applyAlignment="1">
      <alignment horizontal="center" vertical="center" wrapText="1"/>
    </xf>
    <xf numFmtId="0" fontId="33"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4" fillId="7"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5" fillId="9" borderId="13" xfId="0" applyFont="1" applyFill="1" applyBorder="1" applyAlignment="1">
      <alignment horizontal="center" vertical="center" wrapText="1"/>
    </xf>
    <xf numFmtId="0" fontId="29" fillId="0" borderId="0" xfId="0" applyFont="1" applyAlignment="1">
      <alignment horizontal="center" vertical="center"/>
    </xf>
    <xf numFmtId="0" fontId="24" fillId="0" borderId="0" xfId="0" applyFont="1" applyAlignment="1">
      <alignment vertical="center"/>
    </xf>
    <xf numFmtId="0" fontId="8" fillId="0" borderId="1" xfId="0" applyFont="1" applyBorder="1" applyAlignment="1">
      <alignment horizontal="center" vertical="center"/>
    </xf>
    <xf numFmtId="49" fontId="1" fillId="0" borderId="0" xfId="0" applyNumberFormat="1" applyFont="1" applyAlignment="1">
      <alignment horizontal="left" vertical="center"/>
    </xf>
    <xf numFmtId="0" fontId="36" fillId="0" borderId="0" xfId="0" applyFont="1" applyAlignment="1">
      <alignment vertical="center"/>
    </xf>
    <xf numFmtId="164" fontId="1" fillId="0" borderId="0" xfId="0" applyNumberFormat="1" applyFont="1" applyAlignment="1">
      <alignment horizontal="center" vertical="center"/>
    </xf>
    <xf numFmtId="0" fontId="1" fillId="0" borderId="0" xfId="0" applyFont="1" applyAlignment="1">
      <alignment horizontal="center" vertical="center" wrapText="1"/>
    </xf>
    <xf numFmtId="0" fontId="37" fillId="0" borderId="0" xfId="0" applyFont="1" applyAlignment="1">
      <alignment horizontal="center"/>
    </xf>
    <xf numFmtId="0" fontId="38" fillId="0" borderId="0" xfId="0" applyFont="1" applyAlignment="1">
      <alignment horizontal="center"/>
    </xf>
    <xf numFmtId="0" fontId="3" fillId="0" borderId="0" xfId="0" applyFont="1" applyAlignment="1">
      <alignment horizontal="center" vertical="center"/>
    </xf>
    <xf numFmtId="0" fontId="39" fillId="0" borderId="1" xfId="0" applyFont="1" applyBorder="1" applyAlignment="1">
      <alignment horizontal="center"/>
    </xf>
    <xf numFmtId="0" fontId="40" fillId="0" borderId="0" xfId="0" applyFont="1" applyAlignment="1">
      <alignment horizontal="left" vertical="top" wrapText="1"/>
    </xf>
    <xf numFmtId="10" fontId="8" fillId="0" borderId="1" xfId="0" applyNumberFormat="1"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vertical="center"/>
    </xf>
    <xf numFmtId="0" fontId="29" fillId="0" borderId="0" xfId="0" applyFont="1" applyAlignment="1">
      <alignment horizontal="center"/>
    </xf>
    <xf numFmtId="0" fontId="30" fillId="12" borderId="11" xfId="0" applyFont="1" applyFill="1" applyBorder="1" applyAlignment="1">
      <alignment vertical="center" wrapText="1"/>
    </xf>
    <xf numFmtId="0" fontId="24" fillId="12" borderId="11" xfId="0" applyFont="1" applyFill="1" applyBorder="1" applyAlignment="1">
      <alignment vertical="center"/>
    </xf>
    <xf numFmtId="0" fontId="24" fillId="0" borderId="1" xfId="0" applyFont="1" applyBorder="1" applyAlignment="1">
      <alignment horizontal="center" vertical="center"/>
    </xf>
    <xf numFmtId="0" fontId="24" fillId="0" borderId="1" xfId="0" applyFont="1" applyBorder="1" applyAlignment="1">
      <alignment vertical="center"/>
    </xf>
    <xf numFmtId="0" fontId="8" fillId="13" borderId="1" xfId="0" applyFont="1" applyFill="1" applyBorder="1" applyAlignment="1">
      <alignment horizontal="center" vertical="center" wrapText="1"/>
    </xf>
    <xf numFmtId="0" fontId="30" fillId="6" borderId="11" xfId="0" applyFont="1" applyFill="1" applyBorder="1" applyAlignment="1">
      <alignment wrapText="1"/>
    </xf>
    <xf numFmtId="0" fontId="24" fillId="6" borderId="11" xfId="0" applyFont="1" applyFill="1" applyBorder="1" applyAlignment="1">
      <alignment vertical="top"/>
    </xf>
    <xf numFmtId="0" fontId="3" fillId="13" borderId="1" xfId="0" applyFont="1" applyFill="1" applyBorder="1" applyAlignment="1">
      <alignment horizontal="center" vertical="center" wrapText="1"/>
    </xf>
    <xf numFmtId="0" fontId="30" fillId="6" borderId="5" xfId="0" applyFont="1" applyFill="1" applyBorder="1" applyAlignment="1">
      <alignment horizontal="center" vertical="center" wrapText="1"/>
    </xf>
    <xf numFmtId="0" fontId="30" fillId="14" borderId="11" xfId="0" applyFont="1" applyFill="1" applyBorder="1" applyAlignment="1">
      <alignment wrapText="1"/>
    </xf>
    <xf numFmtId="0" fontId="24" fillId="14" borderId="11" xfId="0" applyFont="1" applyFill="1" applyBorder="1" applyAlignment="1">
      <alignment vertical="top"/>
    </xf>
    <xf numFmtId="0" fontId="30" fillId="14" borderId="3" xfId="0" applyFont="1" applyFill="1" applyBorder="1" applyAlignment="1">
      <alignment horizontal="center" vertical="center" wrapText="1"/>
    </xf>
    <xf numFmtId="0" fontId="8" fillId="7" borderId="0" xfId="0" applyFont="1" applyFill="1" applyAlignment="1">
      <alignment horizontal="center" vertical="center" wrapText="1"/>
    </xf>
    <xf numFmtId="0" fontId="8" fillId="7" borderId="0" xfId="0" applyFont="1" applyFill="1" applyAlignment="1">
      <alignment horizontal="center" vertical="center"/>
    </xf>
    <xf numFmtId="0" fontId="30" fillId="14" borderId="5" xfId="0" applyFont="1" applyFill="1" applyBorder="1" applyAlignment="1">
      <alignment horizontal="center" vertical="center" wrapText="1"/>
    </xf>
    <xf numFmtId="0" fontId="30" fillId="13" borderId="11" xfId="0" applyFont="1" applyFill="1" applyBorder="1" applyAlignment="1">
      <alignment wrapText="1"/>
    </xf>
    <xf numFmtId="0" fontId="24" fillId="13" borderId="11" xfId="0" applyFont="1" applyFill="1" applyBorder="1" applyAlignment="1">
      <alignment vertical="top"/>
    </xf>
    <xf numFmtId="0" fontId="5" fillId="13" borderId="5" xfId="0" applyFont="1" applyFill="1" applyBorder="1" applyAlignment="1">
      <alignment horizontal="center" vertical="center" wrapText="1"/>
    </xf>
    <xf numFmtId="0" fontId="41" fillId="0" borderId="1" xfId="0" applyFont="1" applyBorder="1" applyAlignment="1">
      <alignment horizontal="center" vertical="center"/>
    </xf>
    <xf numFmtId="0" fontId="30" fillId="6" borderId="11" xfId="0" applyFont="1" applyFill="1" applyBorder="1" applyAlignment="1">
      <alignment vertical="center" wrapText="1"/>
    </xf>
    <xf numFmtId="0" fontId="43" fillId="0" borderId="1" xfId="0" applyFont="1" applyBorder="1" applyAlignment="1">
      <alignment horizontal="center" vertical="center"/>
    </xf>
    <xf numFmtId="0" fontId="24" fillId="6" borderId="12" xfId="0" applyFont="1" applyFill="1" applyBorder="1" applyAlignment="1">
      <alignment vertical="center"/>
    </xf>
    <xf numFmtId="0" fontId="8" fillId="0" borderId="12" xfId="0" applyFont="1" applyBorder="1" applyAlignment="1">
      <alignment horizontal="center"/>
    </xf>
    <xf numFmtId="0" fontId="44" fillId="0" borderId="0" xfId="0" applyFont="1" applyAlignment="1">
      <alignment horizontal="left" vertical="top" wrapText="1"/>
    </xf>
    <xf numFmtId="0" fontId="45" fillId="0" borderId="0" xfId="0" applyFont="1" applyAlignment="1">
      <alignment horizontal="right"/>
    </xf>
    <xf numFmtId="0" fontId="30" fillId="16" borderId="2" xfId="0" applyFont="1" applyFill="1" applyBorder="1" applyAlignment="1">
      <alignment horizontal="left" vertical="top" wrapText="1"/>
    </xf>
    <xf numFmtId="0" fontId="30" fillId="16" borderId="11" xfId="0" applyFont="1" applyFill="1" applyBorder="1" applyAlignment="1">
      <alignment horizontal="left" vertical="top" wrapText="1"/>
    </xf>
    <xf numFmtId="0" fontId="8" fillId="0" borderId="1" xfId="0" applyFont="1" applyBorder="1" applyAlignment="1">
      <alignment horizontal="center" vertical="top" wrapText="1"/>
    </xf>
    <xf numFmtId="0" fontId="30" fillId="0" borderId="1" xfId="0" applyFont="1" applyBorder="1" applyAlignment="1">
      <alignment horizontal="left" vertical="top" wrapText="1"/>
    </xf>
    <xf numFmtId="0" fontId="8" fillId="0" borderId="0" xfId="0" applyFont="1" applyAlignment="1">
      <alignment horizontal="left" vertical="center"/>
    </xf>
    <xf numFmtId="0" fontId="46" fillId="0" borderId="0" xfId="0" applyFont="1"/>
    <xf numFmtId="49" fontId="47" fillId="0" borderId="0" xfId="0" applyNumberFormat="1" applyFont="1" applyAlignment="1">
      <alignment vertical="center"/>
    </xf>
    <xf numFmtId="49" fontId="8" fillId="0" borderId="0" xfId="0" applyNumberFormat="1" applyFont="1" applyAlignment="1">
      <alignment vertical="center"/>
    </xf>
    <xf numFmtId="49" fontId="48" fillId="0" borderId="0" xfId="0" applyNumberFormat="1" applyFont="1" applyAlignment="1">
      <alignment vertical="center"/>
    </xf>
    <xf numFmtId="49" fontId="8" fillId="0" borderId="0" xfId="0" applyNumberFormat="1" applyFont="1" applyAlignment="1">
      <alignment vertical="center" wrapText="1"/>
    </xf>
    <xf numFmtId="0" fontId="8" fillId="0" borderId="0" xfId="0" applyFont="1" applyAlignment="1">
      <alignmen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165" fontId="6" fillId="12" borderId="0" xfId="0" applyNumberFormat="1" applyFont="1" applyFill="1" applyAlignment="1">
      <alignment horizontal="center" vertical="center"/>
    </xf>
    <xf numFmtId="0" fontId="7" fillId="12" borderId="3" xfId="0" applyFont="1" applyFill="1" applyBorder="1" applyAlignment="1">
      <alignment horizontal="center" vertical="center"/>
    </xf>
    <xf numFmtId="0" fontId="6" fillId="12" borderId="3" xfId="0" applyFont="1" applyFill="1" applyBorder="1" applyAlignment="1">
      <alignment vertical="center"/>
    </xf>
    <xf numFmtId="165" fontId="8" fillId="0" borderId="0" xfId="0" applyNumberFormat="1" applyFont="1" applyAlignment="1">
      <alignment horizontal="center" vertical="center"/>
    </xf>
    <xf numFmtId="0" fontId="49" fillId="0" borderId="3" xfId="0" applyFont="1" applyBorder="1" applyAlignment="1">
      <alignment horizontal="center" vertical="center"/>
    </xf>
    <xf numFmtId="49" fontId="8" fillId="0" borderId="3" xfId="0" applyNumberFormat="1" applyFont="1" applyBorder="1" applyAlignment="1">
      <alignment horizontal="center" vertical="center"/>
    </xf>
    <xf numFmtId="49" fontId="8" fillId="0" borderId="3" xfId="0" applyNumberFormat="1" applyFont="1" applyBorder="1" applyAlignment="1">
      <alignment vertical="center"/>
    </xf>
    <xf numFmtId="165" fontId="8" fillId="0" borderId="0" xfId="0" applyNumberFormat="1" applyFont="1" applyAlignment="1">
      <alignment vertical="center"/>
    </xf>
    <xf numFmtId="165" fontId="7" fillId="12" borderId="0" xfId="0" applyNumberFormat="1" applyFont="1" applyFill="1" applyAlignment="1">
      <alignment horizontal="center" vertical="center"/>
    </xf>
    <xf numFmtId="0" fontId="50" fillId="0" borderId="0" xfId="0" applyFont="1"/>
    <xf numFmtId="0" fontId="0" fillId="0" borderId="15" xfId="0" pivotButton="1" applyBorder="1"/>
    <xf numFmtId="0" fontId="0" fillId="0" borderId="16" xfId="0" applyBorder="1"/>
    <xf numFmtId="0" fontId="0" fillId="0" borderId="15" xfId="0" applyBorder="1"/>
    <xf numFmtId="0" fontId="0" fillId="0" borderId="17" xfId="0" applyBorder="1"/>
    <xf numFmtId="0" fontId="0" fillId="0" borderId="18" xfId="0" applyBorder="1"/>
    <xf numFmtId="0" fontId="0" fillId="0" borderId="18" xfId="0" pivotButton="1" applyBorder="1"/>
    <xf numFmtId="0" fontId="30" fillId="14" borderId="2" xfId="0" applyFont="1" applyFill="1" applyBorder="1" applyAlignment="1">
      <alignment vertical="top" wrapText="1"/>
    </xf>
    <xf numFmtId="0" fontId="31" fillId="0" borderId="11" xfId="0" applyFont="1" applyBorder="1"/>
    <xf numFmtId="0" fontId="5" fillId="13" borderId="5" xfId="0" applyFont="1" applyFill="1" applyBorder="1" applyAlignment="1">
      <alignment horizontal="center" vertical="center" wrapText="1"/>
    </xf>
    <xf numFmtId="0" fontId="31" fillId="0" borderId="5" xfId="0" applyFont="1" applyBorder="1"/>
    <xf numFmtId="0" fontId="8" fillId="0" borderId="13" xfId="0" applyFont="1" applyBorder="1" applyAlignment="1">
      <alignment horizontal="center" vertical="center" wrapText="1"/>
    </xf>
    <xf numFmtId="0" fontId="8" fillId="0" borderId="2" xfId="0" applyFont="1" applyBorder="1" applyAlignment="1">
      <alignment horizontal="center" vertical="center" wrapText="1"/>
    </xf>
    <xf numFmtId="0" fontId="31" fillId="0" borderId="12" xfId="0" applyFont="1" applyBorder="1"/>
    <xf numFmtId="0" fontId="31" fillId="0" borderId="14" xfId="0" applyFont="1" applyBorder="1"/>
    <xf numFmtId="0" fontId="24" fillId="0" borderId="2" xfId="0" applyFont="1" applyBorder="1" applyAlignment="1">
      <alignment horizontal="left" vertical="center"/>
    </xf>
    <xf numFmtId="0" fontId="28" fillId="6" borderId="0" xfId="0" applyFont="1" applyFill="1" applyAlignment="1">
      <alignment horizontal="center" vertical="center"/>
    </xf>
    <xf numFmtId="0" fontId="0" fillId="0" borderId="0" xfId="0"/>
    <xf numFmtId="0" fontId="30" fillId="6" borderId="2" xfId="0" applyFont="1" applyFill="1" applyBorder="1" applyAlignment="1">
      <alignment vertical="top" wrapText="1"/>
    </xf>
    <xf numFmtId="0" fontId="30" fillId="6" borderId="13" xfId="0" applyFont="1" applyFill="1" applyBorder="1" applyAlignment="1">
      <alignment horizontal="center" vertical="center" wrapText="1"/>
    </xf>
    <xf numFmtId="0" fontId="24" fillId="0" borderId="2" xfId="0" applyFont="1" applyBorder="1" applyAlignment="1">
      <alignment horizontal="left" vertical="top"/>
    </xf>
    <xf numFmtId="0" fontId="24" fillId="0" borderId="2" xfId="0" applyFont="1" applyBorder="1" applyAlignment="1">
      <alignment horizontal="center" vertical="center"/>
    </xf>
    <xf numFmtId="0" fontId="4" fillId="15" borderId="2" xfId="0" applyFont="1" applyFill="1" applyBorder="1" applyAlignment="1">
      <alignment vertical="top" wrapText="1"/>
    </xf>
    <xf numFmtId="0" fontId="24" fillId="0" borderId="2" xfId="0" applyFont="1" applyBorder="1" applyAlignment="1">
      <alignment vertical="center"/>
    </xf>
    <xf numFmtId="0" fontId="24" fillId="8" borderId="2" xfId="0" applyFont="1" applyFill="1" applyBorder="1" applyAlignment="1">
      <alignment horizontal="center"/>
    </xf>
    <xf numFmtId="0" fontId="30" fillId="12" borderId="2" xfId="0" applyFont="1" applyFill="1" applyBorder="1" applyAlignment="1">
      <alignment vertical="center" wrapText="1"/>
    </xf>
    <xf numFmtId="0" fontId="5" fillId="12" borderId="13" xfId="0" applyFont="1" applyFill="1" applyBorder="1" applyAlignment="1">
      <alignment horizontal="center" vertical="center" wrapText="1"/>
    </xf>
    <xf numFmtId="0" fontId="4" fillId="0" borderId="0" xfId="0" applyFont="1" applyAlignment="1">
      <alignment horizontal="center"/>
    </xf>
    <xf numFmtId="0" fontId="40" fillId="0" borderId="0" xfId="0" applyFont="1" applyAlignment="1">
      <alignment horizontal="left" vertical="top" wrapText="1"/>
    </xf>
    <xf numFmtId="0" fontId="3" fillId="11" borderId="0" xfId="0" applyFont="1" applyFill="1" applyAlignment="1">
      <alignment horizontal="center" vertical="center"/>
    </xf>
    <xf numFmtId="0" fontId="3" fillId="3" borderId="0" xfId="0" applyFont="1" applyFill="1" applyAlignment="1">
      <alignment horizontal="center" vertical="center"/>
    </xf>
    <xf numFmtId="0" fontId="3" fillId="10" borderId="0" xfId="0" applyFont="1" applyFill="1" applyAlignment="1">
      <alignment horizontal="center"/>
    </xf>
    <xf numFmtId="0" fontId="1" fillId="0" borderId="0" xfId="0" applyFont="1" applyAlignment="1">
      <alignment horizontal="left" vertical="center"/>
    </xf>
    <xf numFmtId="0" fontId="31" fillId="0" borderId="4" xfId="0" applyFont="1" applyBorder="1"/>
    <xf numFmtId="0" fontId="24" fillId="14" borderId="11" xfId="0" applyFont="1" applyFill="1" applyBorder="1" applyAlignment="1">
      <alignment vertical="top"/>
    </xf>
    <xf numFmtId="0" fontId="24" fillId="0" borderId="2" xfId="0" applyFont="1" applyBorder="1" applyAlignment="1">
      <alignment horizontal="center" vertical="center" wrapText="1"/>
    </xf>
    <xf numFmtId="0" fontId="42" fillId="0" borderId="2" xfId="0" applyFont="1" applyBorder="1" applyAlignment="1">
      <alignment vertical="center" wrapText="1"/>
    </xf>
    <xf numFmtId="0" fontId="24" fillId="0" borderId="2" xfId="0" applyFont="1" applyBorder="1" applyAlignment="1">
      <alignment vertical="center" wrapText="1"/>
    </xf>
    <xf numFmtId="0" fontId="30" fillId="6" borderId="2" xfId="0" applyFont="1" applyFill="1" applyBorder="1" applyAlignment="1">
      <alignment vertical="center" wrapText="1"/>
    </xf>
    <xf numFmtId="0" fontId="24" fillId="6" borderId="11" xfId="0" applyFont="1" applyFill="1" applyBorder="1" applyAlignment="1">
      <alignment vertical="center"/>
    </xf>
    <xf numFmtId="0" fontId="5" fillId="0" borderId="0" xfId="0" applyFont="1" applyAlignment="1">
      <alignment horizontal="left" vertical="top" wrapText="1"/>
    </xf>
    <xf numFmtId="0" fontId="30" fillId="16" borderId="2" xfId="0" applyFont="1" applyFill="1" applyBorder="1" applyAlignment="1">
      <alignment horizontal="left" vertical="top" wrapText="1"/>
    </xf>
    <xf numFmtId="0" fontId="4" fillId="9" borderId="13" xfId="0" applyFont="1" applyFill="1" applyBorder="1" applyAlignment="1">
      <alignment horizontal="center" vertical="center" wrapText="1"/>
    </xf>
    <xf numFmtId="0" fontId="3" fillId="0" borderId="13" xfId="0" applyFont="1" applyBorder="1" applyAlignment="1">
      <alignment horizontal="center" vertical="center" wrapText="1"/>
    </xf>
    <xf numFmtId="0" fontId="8" fillId="0" borderId="2" xfId="0" applyFont="1" applyBorder="1" applyAlignment="1">
      <alignment horizontal="center" vertical="top"/>
    </xf>
    <xf numFmtId="0" fontId="30" fillId="16" borderId="11" xfId="0" applyFont="1" applyFill="1" applyBorder="1" applyAlignment="1">
      <alignment horizontal="left" vertical="top" wrapText="1"/>
    </xf>
    <xf numFmtId="0" fontId="30" fillId="0" borderId="2" xfId="0" applyFont="1" applyBorder="1" applyAlignment="1">
      <alignment horizontal="left" vertical="top" wrapText="1"/>
    </xf>
    <xf numFmtId="0" fontId="0" fillId="0" borderId="16" xfId="0" applyNumberFormat="1" applyBorder="1"/>
    <xf numFmtId="0" fontId="0" fillId="0" borderId="18" xfId="0" applyNumberFormat="1" applyBorder="1"/>
  </cellXfs>
  <cellStyles count="1">
    <cellStyle name="Normal" xfId="0" builtinId="0"/>
  </cellStyles>
  <dxfs count="30">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9">
    <tableStyle name="TP Index-style" pivot="0" count="4" xr9:uid="{00000000-0011-0000-FFFF-FFFF00000000}">
      <tableStyleElement type="wholeTable" size="0" dxfId="29"/>
      <tableStyleElement type="headerRow" dxfId="28"/>
      <tableStyleElement type="firstRowStripe" dxfId="27"/>
      <tableStyleElement type="secondRowStripe" dxfId="26"/>
    </tableStyle>
    <tableStyle name="Smoke suite status-style" pivot="0" count="4" xr9:uid="{00000000-0011-0000-FFFF-FFFF01000000}">
      <tableStyleElement type="wholeTable" size="0" dxfId="25"/>
      <tableStyleElement type="headerRow" dxfId="24"/>
      <tableStyleElement type="firstRowStripe" dxfId="23"/>
      <tableStyleElement type="secondRowStripe" dxfId="22"/>
    </tableStyle>
    <tableStyle name="Core Stats-style" pivot="0" count="4" xr9:uid="{00000000-0011-0000-FFFF-FFFF02000000}">
      <tableStyleElement type="wholeTable" size="0" dxfId="21"/>
      <tableStyleElement type="headerRow" dxfId="20"/>
      <tableStyleElement type="firstRowStripe" dxfId="19"/>
      <tableStyleElement type="secondRowStripe" dxfId="18"/>
    </tableStyle>
    <tableStyle name="Core Stats-style 2" pivot="0" count="4" xr9:uid="{00000000-0011-0000-FFFF-FFFF03000000}">
      <tableStyleElement type="wholeTable" size="0" dxfId="17"/>
      <tableStyleElement type="headerRow" dxfId="16"/>
      <tableStyleElement type="firstRowStripe" dxfId="15"/>
      <tableStyleElement type="secondRowStripe" dxfId="14"/>
    </tableStyle>
    <tableStyle name="MarketingLiveOps-style" pivot="0" count="2" xr9:uid="{00000000-0011-0000-FFFF-FFFF04000000}">
      <tableStyleElement type="firstRowStripe" dxfId="13"/>
      <tableStyleElement type="secondRowStripe" dxfId="12"/>
    </tableStyle>
    <tableStyle name="Diego Payments tab 2.0 - wip-style" pivot="0" count="2" xr9:uid="{00000000-0011-0000-FFFF-FFFF05000000}">
      <tableStyleElement type="firstRowStripe" dxfId="11"/>
      <tableStyleElement type="secondRowStripe" dxfId="10"/>
    </tableStyle>
    <tableStyle name="Diego Payments tab 2.0 - wip-style 2" pivot="0" count="2" xr9:uid="{00000000-0011-0000-FFFF-FFFF06000000}">
      <tableStyleElement type="firstRowStripe" dxfId="9"/>
      <tableStyleElement type="secondRowStripe" dxfId="8"/>
    </tableStyle>
    <tableStyle name="Issue tracker-style" pivot="0" count="4" xr9:uid="{00000000-0011-0000-FFFF-FFFF07000000}">
      <tableStyleElement type="wholeTable" size="0" dxfId="7"/>
      <tableStyleElement type="headerRow" dxfId="6"/>
      <tableStyleElement type="firstRowStripe" dxfId="5"/>
      <tableStyleElement type="secondRowStripe" dxfId="4"/>
    </tableStyle>
    <tableStyle name="Test CardsBank-style" pivot="0" count="4" xr9:uid="{00000000-0011-0000-FFFF-FFFF08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Staging Modo (User Side)</a:t>
            </a:r>
          </a:p>
        </c:rich>
      </c:tx>
      <c:overlay val="0"/>
    </c:title>
    <c:autoTitleDeleted val="0"/>
    <c:plotArea>
      <c:layout/>
      <c:barChart>
        <c:barDir val="col"/>
        <c:grouping val="percentStacked"/>
        <c:varyColors val="1"/>
        <c:ser>
          <c:idx val="0"/>
          <c:order val="0"/>
          <c:tx>
            <c:strRef>
              <c:f>'📈 Dashboard'!$B$42</c:f>
              <c:strCache>
                <c:ptCount val="1"/>
                <c:pt idx="0">
                  <c:v>Pass</c:v>
                </c:pt>
              </c:strCache>
            </c:strRef>
          </c:tx>
          <c:invertIfNegative val="1"/>
          <c:cat>
            <c:strRef>
              <c:f>'📈 Dashboard'!$C$41:$E$41</c:f>
              <c:strCache>
                <c:ptCount val="3"/>
                <c:pt idx="0">
                  <c:v>Desktop</c:v>
                </c:pt>
                <c:pt idx="1">
                  <c:v>Android</c:v>
                </c:pt>
                <c:pt idx="2">
                  <c:v>iOS</c:v>
                </c:pt>
              </c:strCache>
            </c:strRef>
          </c:cat>
          <c:val>
            <c:numRef>
              <c:f>'📈 Dashboard'!$C$42:$E$42</c:f>
              <c:numCache>
                <c:formatCode>0.00%</c:formatCode>
                <c:ptCount val="3"/>
                <c:pt idx="0">
                  <c:v>0</c:v>
                </c:pt>
                <c:pt idx="1">
                  <c:v>0</c:v>
                </c:pt>
                <c:pt idx="2">
                  <c:v>0</c:v>
                </c:pt>
              </c:numCache>
            </c:numRef>
          </c:val>
          <c:extLst>
            <c:ext xmlns:c16="http://schemas.microsoft.com/office/drawing/2014/chart" uri="{C3380CC4-5D6E-409C-BE32-E72D297353CC}">
              <c16:uniqueId val="{00000000-5803-4470-A8F7-A70025B4AAC6}"/>
            </c:ext>
          </c:extLst>
        </c:ser>
        <c:ser>
          <c:idx val="1"/>
          <c:order val="1"/>
          <c:tx>
            <c:strRef>
              <c:f>'📈 Dashboard'!$B$43</c:f>
              <c:strCache>
                <c:ptCount val="1"/>
                <c:pt idx="0">
                  <c:v>Acceptable</c:v>
                </c:pt>
              </c:strCache>
            </c:strRef>
          </c:tx>
          <c:invertIfNegative val="1"/>
          <c:cat>
            <c:strRef>
              <c:f>'📈 Dashboard'!$C$41:$E$41</c:f>
              <c:strCache>
                <c:ptCount val="3"/>
                <c:pt idx="0">
                  <c:v>Desktop</c:v>
                </c:pt>
                <c:pt idx="1">
                  <c:v>Android</c:v>
                </c:pt>
                <c:pt idx="2">
                  <c:v>iOS</c:v>
                </c:pt>
              </c:strCache>
            </c:strRef>
          </c:cat>
          <c:val>
            <c:numRef>
              <c:f>'📈 Dashboard'!$C$43:$E$43</c:f>
              <c:numCache>
                <c:formatCode>0.00%</c:formatCode>
                <c:ptCount val="3"/>
                <c:pt idx="0">
                  <c:v>0</c:v>
                </c:pt>
                <c:pt idx="1">
                  <c:v>0</c:v>
                </c:pt>
                <c:pt idx="2">
                  <c:v>0</c:v>
                </c:pt>
              </c:numCache>
            </c:numRef>
          </c:val>
          <c:extLst>
            <c:ext xmlns:c16="http://schemas.microsoft.com/office/drawing/2014/chart" uri="{C3380CC4-5D6E-409C-BE32-E72D297353CC}">
              <c16:uniqueId val="{00000001-5803-4470-A8F7-A70025B4AAC6}"/>
            </c:ext>
          </c:extLst>
        </c:ser>
        <c:ser>
          <c:idx val="2"/>
          <c:order val="2"/>
          <c:tx>
            <c:strRef>
              <c:f>'📈 Dashboard'!$B$44</c:f>
              <c:strCache>
                <c:ptCount val="1"/>
                <c:pt idx="0">
                  <c:v>Fail</c:v>
                </c:pt>
              </c:strCache>
            </c:strRef>
          </c:tx>
          <c:invertIfNegative val="1"/>
          <c:cat>
            <c:strRef>
              <c:f>'📈 Dashboard'!$C$41:$E$41</c:f>
              <c:strCache>
                <c:ptCount val="3"/>
                <c:pt idx="0">
                  <c:v>Desktop</c:v>
                </c:pt>
                <c:pt idx="1">
                  <c:v>Android</c:v>
                </c:pt>
                <c:pt idx="2">
                  <c:v>iOS</c:v>
                </c:pt>
              </c:strCache>
            </c:strRef>
          </c:cat>
          <c:val>
            <c:numRef>
              <c:f>'📈 Dashboard'!$C$44:$E$44</c:f>
              <c:numCache>
                <c:formatCode>0.00%</c:formatCode>
                <c:ptCount val="3"/>
                <c:pt idx="0">
                  <c:v>0</c:v>
                </c:pt>
                <c:pt idx="1">
                  <c:v>0</c:v>
                </c:pt>
                <c:pt idx="2">
                  <c:v>0</c:v>
                </c:pt>
              </c:numCache>
            </c:numRef>
          </c:val>
          <c:extLst>
            <c:ext xmlns:c16="http://schemas.microsoft.com/office/drawing/2014/chart" uri="{C3380CC4-5D6E-409C-BE32-E72D297353CC}">
              <c16:uniqueId val="{00000002-5803-4470-A8F7-A70025B4AAC6}"/>
            </c:ext>
          </c:extLst>
        </c:ser>
        <c:ser>
          <c:idx val="3"/>
          <c:order val="3"/>
          <c:tx>
            <c:strRef>
              <c:f>'📈 Dashboard'!$B$45</c:f>
              <c:strCache>
                <c:ptCount val="1"/>
                <c:pt idx="0">
                  <c:v>N/A</c:v>
                </c:pt>
              </c:strCache>
            </c:strRef>
          </c:tx>
          <c:invertIfNegative val="1"/>
          <c:cat>
            <c:strRef>
              <c:f>'📈 Dashboard'!$C$41:$E$41</c:f>
              <c:strCache>
                <c:ptCount val="3"/>
                <c:pt idx="0">
                  <c:v>Desktop</c:v>
                </c:pt>
                <c:pt idx="1">
                  <c:v>Android</c:v>
                </c:pt>
                <c:pt idx="2">
                  <c:v>iOS</c:v>
                </c:pt>
              </c:strCache>
            </c:strRef>
          </c:cat>
          <c:val>
            <c:numRef>
              <c:f>'📈 Dashboard'!$C$45:$E$45</c:f>
              <c:numCache>
                <c:formatCode>0.00%</c:formatCode>
                <c:ptCount val="3"/>
                <c:pt idx="0">
                  <c:v>0</c:v>
                </c:pt>
                <c:pt idx="1">
                  <c:v>0</c:v>
                </c:pt>
                <c:pt idx="2">
                  <c:v>0</c:v>
                </c:pt>
              </c:numCache>
            </c:numRef>
          </c:val>
          <c:extLst>
            <c:ext xmlns:c16="http://schemas.microsoft.com/office/drawing/2014/chart" uri="{C3380CC4-5D6E-409C-BE32-E72D297353CC}">
              <c16:uniqueId val="{00000003-5803-4470-A8F7-A70025B4AAC6}"/>
            </c:ext>
          </c:extLst>
        </c:ser>
        <c:ser>
          <c:idx val="4"/>
          <c:order val="4"/>
          <c:tx>
            <c:strRef>
              <c:f>'📈 Dashboard'!$B$46</c:f>
              <c:strCache>
                <c:ptCount val="1"/>
                <c:pt idx="0">
                  <c:v>Remaining</c:v>
                </c:pt>
              </c:strCache>
            </c:strRef>
          </c:tx>
          <c:invertIfNegative val="1"/>
          <c:cat>
            <c:strRef>
              <c:f>'📈 Dashboard'!$C$41:$E$41</c:f>
              <c:strCache>
                <c:ptCount val="3"/>
                <c:pt idx="0">
                  <c:v>Desktop</c:v>
                </c:pt>
                <c:pt idx="1">
                  <c:v>Android</c:v>
                </c:pt>
                <c:pt idx="2">
                  <c:v>iOS</c:v>
                </c:pt>
              </c:strCache>
            </c:strRef>
          </c:cat>
          <c:val>
            <c:numRef>
              <c:f>'📈 Dashboard'!$C$46:$E$46</c:f>
              <c:numCache>
                <c:formatCode>0.00%</c:formatCode>
                <c:ptCount val="3"/>
                <c:pt idx="0">
                  <c:v>0</c:v>
                </c:pt>
                <c:pt idx="1">
                  <c:v>0</c:v>
                </c:pt>
                <c:pt idx="2">
                  <c:v>0</c:v>
                </c:pt>
              </c:numCache>
            </c:numRef>
          </c:val>
          <c:extLst>
            <c:ext xmlns:c16="http://schemas.microsoft.com/office/drawing/2014/chart" uri="{C3380CC4-5D6E-409C-BE32-E72D297353CC}">
              <c16:uniqueId val="{00000004-5803-4470-A8F7-A70025B4AAC6}"/>
            </c:ext>
          </c:extLst>
        </c:ser>
        <c:dLbls>
          <c:showLegendKey val="0"/>
          <c:showVal val="0"/>
          <c:showCatName val="0"/>
          <c:showSerName val="0"/>
          <c:showPercent val="0"/>
          <c:showBubbleSize val="0"/>
        </c:dLbls>
        <c:gapWidth val="150"/>
        <c:overlap val="100"/>
        <c:axId val="292508340"/>
        <c:axId val="599745232"/>
      </c:barChart>
      <c:catAx>
        <c:axId val="29250834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99745232"/>
        <c:crosses val="autoZero"/>
        <c:auto val="1"/>
        <c:lblAlgn val="ctr"/>
        <c:lblOffset val="100"/>
        <c:noMultiLvlLbl val="1"/>
      </c:catAx>
      <c:valAx>
        <c:axId val="599745232"/>
        <c:scaling>
          <c:orientation val="minMax"/>
        </c:scaling>
        <c:delete val="0"/>
        <c:axPos val="l"/>
        <c:numFmt formatCode="0%" sourceLinked="1"/>
        <c:majorTickMark val="cross"/>
        <c:minorTickMark val="cross"/>
        <c:tickLblPos val="nextTo"/>
        <c:spPr>
          <a:ln>
            <a:noFill/>
          </a:ln>
        </c:spPr>
        <c:crossAx val="292508340"/>
        <c:crosses val="autoZero"/>
        <c:crossBetween val="between"/>
      </c:valAx>
    </c:plotArea>
    <c:legend>
      <c:legendPos val="r"/>
      <c:overlay val="0"/>
      <c:txPr>
        <a:bodyPr/>
        <a:lstStyle/>
        <a:p>
          <a:pPr lvl="0">
            <a:defRPr b="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Giveaways/Tournaments</a:t>
            </a:r>
          </a:p>
        </c:rich>
      </c:tx>
      <c:overlay val="0"/>
    </c:title>
    <c:autoTitleDeleted val="0"/>
    <c:plotArea>
      <c:layout/>
      <c:barChart>
        <c:barDir val="col"/>
        <c:grouping val="percentStacked"/>
        <c:varyColors val="1"/>
        <c:ser>
          <c:idx val="0"/>
          <c:order val="0"/>
          <c:tx>
            <c:strRef>
              <c:f>'📈 Dashboard'!$B$51</c:f>
              <c:strCache>
                <c:ptCount val="1"/>
                <c:pt idx="0">
                  <c:v>Pass</c:v>
                </c:pt>
              </c:strCache>
            </c:strRef>
          </c:tx>
          <c:spPr>
            <a:solidFill>
              <a:srgbClr val="34A853"/>
            </a:solidFill>
            <a:ln cmpd="sng">
              <a:solidFill>
                <a:srgbClr val="000000"/>
              </a:solidFill>
            </a:ln>
          </c:spPr>
          <c:invertIfNegative val="1"/>
          <c:cat>
            <c:strRef>
              <c:f>'📈 Dashboard'!$C$50:$E$50</c:f>
              <c:strCache>
                <c:ptCount val="3"/>
                <c:pt idx="0">
                  <c:v>Desktop</c:v>
                </c:pt>
                <c:pt idx="1">
                  <c:v>Android</c:v>
                </c:pt>
                <c:pt idx="2">
                  <c:v>iOS</c:v>
                </c:pt>
              </c:strCache>
            </c:strRef>
          </c:cat>
          <c:val>
            <c:numRef>
              <c:f>'📈 Dashboard'!$C$51:$E$51</c:f>
              <c:numCache>
                <c:formatCode>0.00%</c:formatCode>
                <c:ptCount val="3"/>
                <c:pt idx="0">
                  <c:v>0.41860465116279072</c:v>
                </c:pt>
                <c:pt idx="1">
                  <c:v>0</c:v>
                </c:pt>
                <c:pt idx="2">
                  <c:v>0.46511627906976744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939-401C-9CF0-7ED29F96B0C3}"/>
            </c:ext>
          </c:extLst>
        </c:ser>
        <c:ser>
          <c:idx val="1"/>
          <c:order val="1"/>
          <c:tx>
            <c:strRef>
              <c:f>'📈 Dashboard'!$B$52</c:f>
              <c:strCache>
                <c:ptCount val="1"/>
                <c:pt idx="0">
                  <c:v>Acceptable</c:v>
                </c:pt>
              </c:strCache>
            </c:strRef>
          </c:tx>
          <c:spPr>
            <a:solidFill>
              <a:srgbClr val="FBBC04"/>
            </a:solidFill>
            <a:ln cmpd="sng">
              <a:solidFill>
                <a:srgbClr val="000000"/>
              </a:solidFill>
            </a:ln>
          </c:spPr>
          <c:invertIfNegative val="1"/>
          <c:cat>
            <c:strRef>
              <c:f>'📈 Dashboard'!$C$50:$E$50</c:f>
              <c:strCache>
                <c:ptCount val="3"/>
                <c:pt idx="0">
                  <c:v>Desktop</c:v>
                </c:pt>
                <c:pt idx="1">
                  <c:v>Android</c:v>
                </c:pt>
                <c:pt idx="2">
                  <c:v>iOS</c:v>
                </c:pt>
              </c:strCache>
            </c:strRef>
          </c:cat>
          <c:val>
            <c:numRef>
              <c:f>'📈 Dashboard'!$C$52:$E$52</c:f>
              <c:numCache>
                <c:formatCode>0.00%</c:formatCode>
                <c:ptCount val="3"/>
                <c:pt idx="0">
                  <c:v>0.11627906976744186</c:v>
                </c:pt>
                <c:pt idx="1">
                  <c:v>6.9767441860465115E-2</c:v>
                </c:pt>
                <c:pt idx="2">
                  <c:v>6.9767441860465115E-2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939-401C-9CF0-7ED29F96B0C3}"/>
            </c:ext>
          </c:extLst>
        </c:ser>
        <c:ser>
          <c:idx val="2"/>
          <c:order val="2"/>
          <c:tx>
            <c:strRef>
              <c:f>'📈 Dashboard'!$B$53</c:f>
              <c:strCache>
                <c:ptCount val="1"/>
                <c:pt idx="0">
                  <c:v>Fail</c:v>
                </c:pt>
              </c:strCache>
            </c:strRef>
          </c:tx>
          <c:spPr>
            <a:solidFill>
              <a:srgbClr val="FF0000"/>
            </a:solidFill>
            <a:ln cmpd="sng">
              <a:solidFill>
                <a:srgbClr val="000000"/>
              </a:solidFill>
            </a:ln>
          </c:spPr>
          <c:invertIfNegative val="1"/>
          <c:cat>
            <c:strRef>
              <c:f>'📈 Dashboard'!$C$50:$E$50</c:f>
              <c:strCache>
                <c:ptCount val="3"/>
                <c:pt idx="0">
                  <c:v>Desktop</c:v>
                </c:pt>
                <c:pt idx="1">
                  <c:v>Android</c:v>
                </c:pt>
                <c:pt idx="2">
                  <c:v>iOS</c:v>
                </c:pt>
              </c:strCache>
            </c:strRef>
          </c:cat>
          <c:val>
            <c:numRef>
              <c:f>'📈 Dashboard'!$C$53:$E$53</c:f>
              <c:numCache>
                <c:formatCode>0.00%</c:formatCode>
                <c:ptCount val="3"/>
                <c:pt idx="0">
                  <c:v>0.16279069767441862</c:v>
                </c:pt>
                <c:pt idx="1">
                  <c:v>0.16279069767441862</c:v>
                </c:pt>
                <c:pt idx="2">
                  <c:v>0.16279069767441862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939-401C-9CF0-7ED29F96B0C3}"/>
            </c:ext>
          </c:extLst>
        </c:ser>
        <c:ser>
          <c:idx val="3"/>
          <c:order val="3"/>
          <c:tx>
            <c:strRef>
              <c:f>'📈 Dashboard'!$B$54</c:f>
              <c:strCache>
                <c:ptCount val="1"/>
                <c:pt idx="0">
                  <c:v>N/A</c:v>
                </c:pt>
              </c:strCache>
            </c:strRef>
          </c:tx>
          <c:spPr>
            <a:solidFill>
              <a:srgbClr val="666666"/>
            </a:solidFill>
            <a:ln cmpd="sng">
              <a:solidFill>
                <a:srgbClr val="000000"/>
              </a:solidFill>
            </a:ln>
          </c:spPr>
          <c:invertIfNegative val="1"/>
          <c:cat>
            <c:strRef>
              <c:f>'📈 Dashboard'!$C$50:$E$50</c:f>
              <c:strCache>
                <c:ptCount val="3"/>
                <c:pt idx="0">
                  <c:v>Desktop</c:v>
                </c:pt>
                <c:pt idx="1">
                  <c:v>Android</c:v>
                </c:pt>
                <c:pt idx="2">
                  <c:v>iOS</c:v>
                </c:pt>
              </c:strCache>
            </c:strRef>
          </c:cat>
          <c:val>
            <c:numRef>
              <c:f>'📈 Dashboard'!$C$54:$E$54</c:f>
              <c:numCache>
                <c:formatCode>0.00%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939-401C-9CF0-7ED29F96B0C3}"/>
            </c:ext>
          </c:extLst>
        </c:ser>
        <c:ser>
          <c:idx val="4"/>
          <c:order val="4"/>
          <c:tx>
            <c:strRef>
              <c:f>'📈 Dashboard'!$B$55</c:f>
              <c:strCache>
                <c:ptCount val="1"/>
                <c:pt idx="0">
                  <c:v>Remaining</c:v>
                </c:pt>
              </c:strCache>
            </c:strRef>
          </c:tx>
          <c:spPr>
            <a:solidFill>
              <a:srgbClr val="CCCCCC"/>
            </a:solidFill>
            <a:ln cmpd="sng">
              <a:solidFill>
                <a:srgbClr val="000000"/>
              </a:solidFill>
            </a:ln>
          </c:spPr>
          <c:invertIfNegative val="1"/>
          <c:cat>
            <c:strRef>
              <c:f>'📈 Dashboard'!$C$50:$E$50</c:f>
              <c:strCache>
                <c:ptCount val="3"/>
                <c:pt idx="0">
                  <c:v>Desktop</c:v>
                </c:pt>
                <c:pt idx="1">
                  <c:v>Android</c:v>
                </c:pt>
                <c:pt idx="2">
                  <c:v>iOS</c:v>
                </c:pt>
              </c:strCache>
            </c:strRef>
          </c:cat>
          <c:val>
            <c:numRef>
              <c:f>'📈 Dashboard'!$C$55:$E$55</c:f>
              <c:numCache>
                <c:formatCode>0.00%</c:formatCode>
                <c:ptCount val="3"/>
                <c:pt idx="0">
                  <c:v>2.3255813953488372E-2</c:v>
                </c:pt>
                <c:pt idx="1">
                  <c:v>2.3255813953488372E-2</c:v>
                </c:pt>
                <c:pt idx="2">
                  <c:v>4.6511627906976744E-2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E939-401C-9CF0-7ED29F96B0C3}"/>
            </c:ext>
          </c:extLst>
        </c:ser>
        <c:dLbls>
          <c:showLegendKey val="0"/>
          <c:showVal val="0"/>
          <c:showCatName val="0"/>
          <c:showSerName val="0"/>
          <c:showPercent val="0"/>
          <c:showBubbleSize val="0"/>
        </c:dLbls>
        <c:gapWidth val="150"/>
        <c:overlap val="100"/>
        <c:axId val="356303079"/>
        <c:axId val="574322330"/>
      </c:barChart>
      <c:catAx>
        <c:axId val="35630307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74322330"/>
        <c:crosses val="autoZero"/>
        <c:auto val="1"/>
        <c:lblAlgn val="ctr"/>
        <c:lblOffset val="100"/>
        <c:noMultiLvlLbl val="1"/>
      </c:catAx>
      <c:valAx>
        <c:axId val="5743223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356303079"/>
        <c:crosses val="autoZero"/>
        <c:crossBetween val="between"/>
      </c:valAx>
    </c:plotArea>
    <c:legend>
      <c:legendPos val="r"/>
      <c:overlay val="0"/>
      <c:txPr>
        <a:bodyPr/>
        <a:lstStyle/>
        <a:p>
          <a:pPr lvl="0">
            <a:defRPr b="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Back office</a:t>
            </a:r>
          </a:p>
        </c:rich>
      </c:tx>
      <c:overlay val="0"/>
    </c:title>
    <c:autoTitleDeleted val="0"/>
    <c:plotArea>
      <c:layout/>
      <c:barChart>
        <c:barDir val="col"/>
        <c:grouping val="percentStacked"/>
        <c:varyColors val="1"/>
        <c:ser>
          <c:idx val="0"/>
          <c:order val="0"/>
          <c:tx>
            <c:strRef>
              <c:f>'📈 Dashboard'!$B$60</c:f>
              <c:strCache>
                <c:ptCount val="1"/>
                <c:pt idx="0">
                  <c:v>Pass</c:v>
                </c:pt>
              </c:strCache>
            </c:strRef>
          </c:tx>
          <c:invertIfNegative val="1"/>
          <c:cat>
            <c:strRef>
              <c:f>'📈 Dashboard'!$C$59</c:f>
              <c:strCache>
                <c:ptCount val="1"/>
                <c:pt idx="0">
                  <c:v>Desktop</c:v>
                </c:pt>
              </c:strCache>
            </c:strRef>
          </c:cat>
          <c:val>
            <c:numRef>
              <c:f>'📈 Dashboard'!$C$60</c:f>
              <c:numCache>
                <c:formatCode>0.00%</c:formatCode>
                <c:ptCount val="1"/>
                <c:pt idx="0">
                  <c:v>0</c:v>
                </c:pt>
              </c:numCache>
            </c:numRef>
          </c:val>
          <c:extLst>
            <c:ext xmlns:c16="http://schemas.microsoft.com/office/drawing/2014/chart" uri="{C3380CC4-5D6E-409C-BE32-E72D297353CC}">
              <c16:uniqueId val="{00000000-F2F8-4D92-9053-5825A86A76BE}"/>
            </c:ext>
          </c:extLst>
        </c:ser>
        <c:ser>
          <c:idx val="1"/>
          <c:order val="1"/>
          <c:tx>
            <c:strRef>
              <c:f>'📈 Dashboard'!$B$61</c:f>
              <c:strCache>
                <c:ptCount val="1"/>
                <c:pt idx="0">
                  <c:v>Acceptable</c:v>
                </c:pt>
              </c:strCache>
            </c:strRef>
          </c:tx>
          <c:invertIfNegative val="1"/>
          <c:cat>
            <c:strRef>
              <c:f>'📈 Dashboard'!$C$59</c:f>
              <c:strCache>
                <c:ptCount val="1"/>
                <c:pt idx="0">
                  <c:v>Desktop</c:v>
                </c:pt>
              </c:strCache>
            </c:strRef>
          </c:cat>
          <c:val>
            <c:numRef>
              <c:f>'📈 Dashboard'!$C$61</c:f>
              <c:numCache>
                <c:formatCode>0.00%</c:formatCode>
                <c:ptCount val="1"/>
                <c:pt idx="0">
                  <c:v>0</c:v>
                </c:pt>
              </c:numCache>
            </c:numRef>
          </c:val>
          <c:extLst>
            <c:ext xmlns:c16="http://schemas.microsoft.com/office/drawing/2014/chart" uri="{C3380CC4-5D6E-409C-BE32-E72D297353CC}">
              <c16:uniqueId val="{00000001-F2F8-4D92-9053-5825A86A76BE}"/>
            </c:ext>
          </c:extLst>
        </c:ser>
        <c:ser>
          <c:idx val="2"/>
          <c:order val="2"/>
          <c:tx>
            <c:strRef>
              <c:f>'📈 Dashboard'!$B$62</c:f>
              <c:strCache>
                <c:ptCount val="1"/>
                <c:pt idx="0">
                  <c:v>Fail</c:v>
                </c:pt>
              </c:strCache>
            </c:strRef>
          </c:tx>
          <c:invertIfNegative val="1"/>
          <c:cat>
            <c:strRef>
              <c:f>'📈 Dashboard'!$C$59</c:f>
              <c:strCache>
                <c:ptCount val="1"/>
                <c:pt idx="0">
                  <c:v>Desktop</c:v>
                </c:pt>
              </c:strCache>
            </c:strRef>
          </c:cat>
          <c:val>
            <c:numRef>
              <c:f>'📈 Dashboard'!$C$62</c:f>
              <c:numCache>
                <c:formatCode>0.00%</c:formatCode>
                <c:ptCount val="1"/>
                <c:pt idx="0">
                  <c:v>0</c:v>
                </c:pt>
              </c:numCache>
            </c:numRef>
          </c:val>
          <c:extLst>
            <c:ext xmlns:c16="http://schemas.microsoft.com/office/drawing/2014/chart" uri="{C3380CC4-5D6E-409C-BE32-E72D297353CC}">
              <c16:uniqueId val="{00000002-F2F8-4D92-9053-5825A86A76BE}"/>
            </c:ext>
          </c:extLst>
        </c:ser>
        <c:ser>
          <c:idx val="3"/>
          <c:order val="3"/>
          <c:tx>
            <c:strRef>
              <c:f>'📈 Dashboard'!$B$63</c:f>
              <c:strCache>
                <c:ptCount val="1"/>
                <c:pt idx="0">
                  <c:v>N/A</c:v>
                </c:pt>
              </c:strCache>
            </c:strRef>
          </c:tx>
          <c:invertIfNegative val="1"/>
          <c:cat>
            <c:strRef>
              <c:f>'📈 Dashboard'!$C$59</c:f>
              <c:strCache>
                <c:ptCount val="1"/>
                <c:pt idx="0">
                  <c:v>Desktop</c:v>
                </c:pt>
              </c:strCache>
            </c:strRef>
          </c:cat>
          <c:val>
            <c:numRef>
              <c:f>'📈 Dashboard'!$C$63</c:f>
              <c:numCache>
                <c:formatCode>0.00%</c:formatCode>
                <c:ptCount val="1"/>
                <c:pt idx="0">
                  <c:v>0</c:v>
                </c:pt>
              </c:numCache>
            </c:numRef>
          </c:val>
          <c:extLst>
            <c:ext xmlns:c16="http://schemas.microsoft.com/office/drawing/2014/chart" uri="{C3380CC4-5D6E-409C-BE32-E72D297353CC}">
              <c16:uniqueId val="{00000003-F2F8-4D92-9053-5825A86A76BE}"/>
            </c:ext>
          </c:extLst>
        </c:ser>
        <c:ser>
          <c:idx val="4"/>
          <c:order val="4"/>
          <c:tx>
            <c:strRef>
              <c:f>'📈 Dashboard'!$B$64</c:f>
              <c:strCache>
                <c:ptCount val="1"/>
                <c:pt idx="0">
                  <c:v>Remaining</c:v>
                </c:pt>
              </c:strCache>
            </c:strRef>
          </c:tx>
          <c:invertIfNegative val="1"/>
          <c:cat>
            <c:strRef>
              <c:f>'📈 Dashboard'!$C$59</c:f>
              <c:strCache>
                <c:ptCount val="1"/>
                <c:pt idx="0">
                  <c:v>Desktop</c:v>
                </c:pt>
              </c:strCache>
            </c:strRef>
          </c:cat>
          <c:val>
            <c:numRef>
              <c:f>'📈 Dashboard'!$C$64</c:f>
              <c:numCache>
                <c:formatCode>0.00%</c:formatCode>
                <c:ptCount val="1"/>
                <c:pt idx="0">
                  <c:v>0</c:v>
                </c:pt>
              </c:numCache>
            </c:numRef>
          </c:val>
          <c:extLst>
            <c:ext xmlns:c16="http://schemas.microsoft.com/office/drawing/2014/chart" uri="{C3380CC4-5D6E-409C-BE32-E72D297353CC}">
              <c16:uniqueId val="{00000004-F2F8-4D92-9053-5825A86A76BE}"/>
            </c:ext>
          </c:extLst>
        </c:ser>
        <c:dLbls>
          <c:showLegendKey val="0"/>
          <c:showVal val="0"/>
          <c:showCatName val="0"/>
          <c:showSerName val="0"/>
          <c:showPercent val="0"/>
          <c:showBubbleSize val="0"/>
        </c:dLbls>
        <c:gapWidth val="150"/>
        <c:overlap val="100"/>
        <c:axId val="1214305962"/>
        <c:axId val="1648397837"/>
      </c:barChart>
      <c:catAx>
        <c:axId val="121430596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48397837"/>
        <c:crosses val="autoZero"/>
        <c:auto val="1"/>
        <c:lblAlgn val="ctr"/>
        <c:lblOffset val="100"/>
        <c:noMultiLvlLbl val="1"/>
      </c:catAx>
      <c:valAx>
        <c:axId val="1648397837"/>
        <c:scaling>
          <c:orientation val="minMax"/>
        </c:scaling>
        <c:delete val="0"/>
        <c:axPos val="l"/>
        <c:numFmt formatCode="0%" sourceLinked="1"/>
        <c:majorTickMark val="cross"/>
        <c:minorTickMark val="cross"/>
        <c:tickLblPos val="nextTo"/>
        <c:spPr>
          <a:ln>
            <a:noFill/>
          </a:ln>
        </c:spPr>
        <c:crossAx val="1214305962"/>
        <c:crosses val="autoZero"/>
        <c:crossBetween val="between"/>
      </c:valAx>
    </c:plotArea>
    <c:legend>
      <c:legendPos val="r"/>
      <c:overlay val="0"/>
      <c:txPr>
        <a:bodyPr/>
        <a:lstStyle/>
        <a:p>
          <a:pPr lvl="0">
            <a:defRPr b="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Payments</a:t>
            </a:r>
          </a:p>
        </c:rich>
      </c:tx>
      <c:overlay val="0"/>
    </c:title>
    <c:autoTitleDeleted val="0"/>
    <c:plotArea>
      <c:layout/>
      <c:barChart>
        <c:barDir val="col"/>
        <c:grouping val="percentStacked"/>
        <c:varyColors val="1"/>
        <c:ser>
          <c:idx val="0"/>
          <c:order val="0"/>
          <c:tx>
            <c:strRef>
              <c:f>'📈 Dashboard'!$B$69</c:f>
              <c:strCache>
                <c:ptCount val="1"/>
                <c:pt idx="0">
                  <c:v>Pass</c:v>
                </c:pt>
              </c:strCache>
            </c:strRef>
          </c:tx>
          <c:spPr>
            <a:solidFill>
              <a:srgbClr val="34A853"/>
            </a:solidFill>
            <a:ln cmpd="sng">
              <a:solidFill>
                <a:srgbClr val="000000"/>
              </a:solidFill>
            </a:ln>
          </c:spPr>
          <c:invertIfNegative val="1"/>
          <c:cat>
            <c:strRef>
              <c:f>'📈 Dashboard'!$C$68:$D$68</c:f>
              <c:strCache>
                <c:ptCount val="2"/>
                <c:pt idx="0">
                  <c:v>Fiserv</c:v>
                </c:pt>
                <c:pt idx="1">
                  <c:v>Checkout</c:v>
                </c:pt>
              </c:strCache>
            </c:strRef>
          </c:cat>
          <c:val>
            <c:numRef>
              <c:f>'📈 Dashboard'!$C$69:$D$69</c:f>
              <c:numCache>
                <c:formatCode>0.00%</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B0A-4B31-A3F1-04B4529D06AC}"/>
            </c:ext>
          </c:extLst>
        </c:ser>
        <c:ser>
          <c:idx val="1"/>
          <c:order val="1"/>
          <c:tx>
            <c:strRef>
              <c:f>'📈 Dashboard'!$B$70</c:f>
              <c:strCache>
                <c:ptCount val="1"/>
                <c:pt idx="0">
                  <c:v>Acceptable</c:v>
                </c:pt>
              </c:strCache>
            </c:strRef>
          </c:tx>
          <c:spPr>
            <a:solidFill>
              <a:srgbClr val="FBBC04"/>
            </a:solidFill>
            <a:ln cmpd="sng">
              <a:solidFill>
                <a:srgbClr val="000000"/>
              </a:solidFill>
            </a:ln>
          </c:spPr>
          <c:invertIfNegative val="1"/>
          <c:cat>
            <c:strRef>
              <c:f>'📈 Dashboard'!$C$68:$D$68</c:f>
              <c:strCache>
                <c:ptCount val="2"/>
                <c:pt idx="0">
                  <c:v>Fiserv</c:v>
                </c:pt>
                <c:pt idx="1">
                  <c:v>Checkout</c:v>
                </c:pt>
              </c:strCache>
            </c:strRef>
          </c:cat>
          <c:val>
            <c:numRef>
              <c:f>'📈 Dashboard'!$C$70:$D$70</c:f>
              <c:numCache>
                <c:formatCode>0.00%</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B0A-4B31-A3F1-04B4529D06AC}"/>
            </c:ext>
          </c:extLst>
        </c:ser>
        <c:ser>
          <c:idx val="2"/>
          <c:order val="2"/>
          <c:tx>
            <c:strRef>
              <c:f>'📈 Dashboard'!$B$71</c:f>
              <c:strCache>
                <c:ptCount val="1"/>
                <c:pt idx="0">
                  <c:v>Fail</c:v>
                </c:pt>
              </c:strCache>
            </c:strRef>
          </c:tx>
          <c:spPr>
            <a:solidFill>
              <a:srgbClr val="FF0000"/>
            </a:solidFill>
            <a:ln cmpd="sng">
              <a:solidFill>
                <a:srgbClr val="000000"/>
              </a:solidFill>
            </a:ln>
          </c:spPr>
          <c:invertIfNegative val="1"/>
          <c:cat>
            <c:strRef>
              <c:f>'📈 Dashboard'!$C$68:$D$68</c:f>
              <c:strCache>
                <c:ptCount val="2"/>
                <c:pt idx="0">
                  <c:v>Fiserv</c:v>
                </c:pt>
                <c:pt idx="1">
                  <c:v>Checkout</c:v>
                </c:pt>
              </c:strCache>
            </c:strRef>
          </c:cat>
          <c:val>
            <c:numRef>
              <c:f>'📈 Dashboard'!$C$71:$D$71</c:f>
              <c:numCache>
                <c:formatCode>0.00%</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B0A-4B31-A3F1-04B4529D06AC}"/>
            </c:ext>
          </c:extLst>
        </c:ser>
        <c:ser>
          <c:idx val="3"/>
          <c:order val="3"/>
          <c:tx>
            <c:strRef>
              <c:f>'📈 Dashboard'!$B$72</c:f>
              <c:strCache>
                <c:ptCount val="1"/>
                <c:pt idx="0">
                  <c:v>N/A</c:v>
                </c:pt>
              </c:strCache>
            </c:strRef>
          </c:tx>
          <c:spPr>
            <a:solidFill>
              <a:srgbClr val="666666"/>
            </a:solidFill>
            <a:ln cmpd="sng">
              <a:solidFill>
                <a:srgbClr val="000000"/>
              </a:solidFill>
            </a:ln>
          </c:spPr>
          <c:invertIfNegative val="1"/>
          <c:cat>
            <c:strRef>
              <c:f>'📈 Dashboard'!$C$68:$D$68</c:f>
              <c:strCache>
                <c:ptCount val="2"/>
                <c:pt idx="0">
                  <c:v>Fiserv</c:v>
                </c:pt>
                <c:pt idx="1">
                  <c:v>Checkout</c:v>
                </c:pt>
              </c:strCache>
            </c:strRef>
          </c:cat>
          <c:val>
            <c:numRef>
              <c:f>'📈 Dashboard'!$C$72:$D$72</c:f>
              <c:numCache>
                <c:formatCode>0.00%</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B0A-4B31-A3F1-04B4529D06AC}"/>
            </c:ext>
          </c:extLst>
        </c:ser>
        <c:ser>
          <c:idx val="4"/>
          <c:order val="4"/>
          <c:tx>
            <c:strRef>
              <c:f>'📈 Dashboard'!$B$73</c:f>
              <c:strCache>
                <c:ptCount val="1"/>
                <c:pt idx="0">
                  <c:v>Remaining</c:v>
                </c:pt>
              </c:strCache>
            </c:strRef>
          </c:tx>
          <c:spPr>
            <a:solidFill>
              <a:srgbClr val="CCCCCC"/>
            </a:solidFill>
            <a:ln cmpd="sng">
              <a:solidFill>
                <a:srgbClr val="000000"/>
              </a:solidFill>
            </a:ln>
          </c:spPr>
          <c:invertIfNegative val="1"/>
          <c:cat>
            <c:strRef>
              <c:f>'📈 Dashboard'!$C$68:$D$68</c:f>
              <c:strCache>
                <c:ptCount val="2"/>
                <c:pt idx="0">
                  <c:v>Fiserv</c:v>
                </c:pt>
                <c:pt idx="1">
                  <c:v>Checkout</c:v>
                </c:pt>
              </c:strCache>
            </c:strRef>
          </c:cat>
          <c:val>
            <c:numRef>
              <c:f>'📈 Dashboard'!$C$73:$D$73</c:f>
              <c:numCache>
                <c:formatCode>0.00%</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DB0A-4B31-A3F1-04B4529D06AC}"/>
            </c:ext>
          </c:extLst>
        </c:ser>
        <c:dLbls>
          <c:showLegendKey val="0"/>
          <c:showVal val="0"/>
          <c:showCatName val="0"/>
          <c:showSerName val="0"/>
          <c:showPercent val="0"/>
          <c:showBubbleSize val="0"/>
        </c:dLbls>
        <c:gapWidth val="150"/>
        <c:overlap val="100"/>
        <c:axId val="2140148708"/>
        <c:axId val="1940002696"/>
      </c:barChart>
      <c:catAx>
        <c:axId val="214014870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40002696"/>
        <c:crosses val="autoZero"/>
        <c:auto val="1"/>
        <c:lblAlgn val="ctr"/>
        <c:lblOffset val="100"/>
        <c:noMultiLvlLbl val="1"/>
      </c:catAx>
      <c:valAx>
        <c:axId val="1940002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2140148708"/>
        <c:crosses val="autoZero"/>
        <c:crossBetween val="between"/>
      </c:valAx>
    </c:plotArea>
    <c:legend>
      <c:legendPos val="r"/>
      <c:overlay val="0"/>
      <c:txPr>
        <a:bodyPr/>
        <a:lstStyle/>
        <a:p>
          <a:pPr lvl="0">
            <a:defRPr b="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Redemptions</a:t>
            </a:r>
          </a:p>
        </c:rich>
      </c:tx>
      <c:overlay val="0"/>
    </c:title>
    <c:autoTitleDeleted val="0"/>
    <c:plotArea>
      <c:layout/>
      <c:barChart>
        <c:barDir val="col"/>
        <c:grouping val="percentStacked"/>
        <c:varyColors val="1"/>
        <c:ser>
          <c:idx val="0"/>
          <c:order val="0"/>
          <c:tx>
            <c:strRef>
              <c:f>'📈 Dashboard'!$B$78</c:f>
              <c:strCache>
                <c:ptCount val="1"/>
                <c:pt idx="0">
                  <c:v>Pass</c:v>
                </c:pt>
              </c:strCache>
            </c:strRef>
          </c:tx>
          <c:invertIfNegative val="1"/>
          <c:cat>
            <c:strRef>
              <c:f>'📈 Dashboard'!$C$77:$F$77</c:f>
              <c:strCache>
                <c:ptCount val="4"/>
                <c:pt idx="0">
                  <c:v>Fiserv</c:v>
                </c:pt>
                <c:pt idx="1">
                  <c:v>Checkout</c:v>
                </c:pt>
                <c:pt idx="2">
                  <c:v>Bank account</c:v>
                </c:pt>
                <c:pt idx="3">
                  <c:v>Prizeout</c:v>
                </c:pt>
              </c:strCache>
            </c:strRef>
          </c:cat>
          <c:val>
            <c:numRef>
              <c:f>'📈 Dashboard'!$C$78:$F$78</c:f>
              <c:numCache>
                <c:formatCode>0.00%</c:formatCode>
                <c:ptCount val="4"/>
                <c:pt idx="0">
                  <c:v>0</c:v>
                </c:pt>
                <c:pt idx="1">
                  <c:v>0</c:v>
                </c:pt>
                <c:pt idx="2">
                  <c:v>0</c:v>
                </c:pt>
                <c:pt idx="3">
                  <c:v>0</c:v>
                </c:pt>
              </c:numCache>
            </c:numRef>
          </c:val>
          <c:extLst>
            <c:ext xmlns:c16="http://schemas.microsoft.com/office/drawing/2014/chart" uri="{C3380CC4-5D6E-409C-BE32-E72D297353CC}">
              <c16:uniqueId val="{00000000-2B37-487D-9B6C-33BDB3254364}"/>
            </c:ext>
          </c:extLst>
        </c:ser>
        <c:ser>
          <c:idx val="1"/>
          <c:order val="1"/>
          <c:tx>
            <c:strRef>
              <c:f>'📈 Dashboard'!$B$79</c:f>
              <c:strCache>
                <c:ptCount val="1"/>
                <c:pt idx="0">
                  <c:v>Acceptable</c:v>
                </c:pt>
              </c:strCache>
            </c:strRef>
          </c:tx>
          <c:invertIfNegative val="1"/>
          <c:cat>
            <c:strRef>
              <c:f>'📈 Dashboard'!$C$77:$F$77</c:f>
              <c:strCache>
                <c:ptCount val="4"/>
                <c:pt idx="0">
                  <c:v>Fiserv</c:v>
                </c:pt>
                <c:pt idx="1">
                  <c:v>Checkout</c:v>
                </c:pt>
                <c:pt idx="2">
                  <c:v>Bank account</c:v>
                </c:pt>
                <c:pt idx="3">
                  <c:v>Prizeout</c:v>
                </c:pt>
              </c:strCache>
            </c:strRef>
          </c:cat>
          <c:val>
            <c:numRef>
              <c:f>'📈 Dashboard'!$C$79:$F$79</c:f>
              <c:numCache>
                <c:formatCode>0.00%</c:formatCode>
                <c:ptCount val="4"/>
                <c:pt idx="0">
                  <c:v>0</c:v>
                </c:pt>
                <c:pt idx="1">
                  <c:v>0</c:v>
                </c:pt>
                <c:pt idx="2">
                  <c:v>0</c:v>
                </c:pt>
                <c:pt idx="3">
                  <c:v>0</c:v>
                </c:pt>
              </c:numCache>
            </c:numRef>
          </c:val>
          <c:extLst>
            <c:ext xmlns:c16="http://schemas.microsoft.com/office/drawing/2014/chart" uri="{C3380CC4-5D6E-409C-BE32-E72D297353CC}">
              <c16:uniqueId val="{00000001-2B37-487D-9B6C-33BDB3254364}"/>
            </c:ext>
          </c:extLst>
        </c:ser>
        <c:ser>
          <c:idx val="2"/>
          <c:order val="2"/>
          <c:tx>
            <c:strRef>
              <c:f>'📈 Dashboard'!$B$80</c:f>
              <c:strCache>
                <c:ptCount val="1"/>
                <c:pt idx="0">
                  <c:v>Fail</c:v>
                </c:pt>
              </c:strCache>
            </c:strRef>
          </c:tx>
          <c:invertIfNegative val="1"/>
          <c:cat>
            <c:strRef>
              <c:f>'📈 Dashboard'!$C$77:$F$77</c:f>
              <c:strCache>
                <c:ptCount val="4"/>
                <c:pt idx="0">
                  <c:v>Fiserv</c:v>
                </c:pt>
                <c:pt idx="1">
                  <c:v>Checkout</c:v>
                </c:pt>
                <c:pt idx="2">
                  <c:v>Bank account</c:v>
                </c:pt>
                <c:pt idx="3">
                  <c:v>Prizeout</c:v>
                </c:pt>
              </c:strCache>
            </c:strRef>
          </c:cat>
          <c:val>
            <c:numRef>
              <c:f>'📈 Dashboard'!$C$80:$F$80</c:f>
              <c:numCache>
                <c:formatCode>0.00%</c:formatCode>
                <c:ptCount val="4"/>
                <c:pt idx="0">
                  <c:v>0</c:v>
                </c:pt>
                <c:pt idx="1">
                  <c:v>0</c:v>
                </c:pt>
                <c:pt idx="2">
                  <c:v>0</c:v>
                </c:pt>
                <c:pt idx="3">
                  <c:v>0</c:v>
                </c:pt>
              </c:numCache>
            </c:numRef>
          </c:val>
          <c:extLst>
            <c:ext xmlns:c16="http://schemas.microsoft.com/office/drawing/2014/chart" uri="{C3380CC4-5D6E-409C-BE32-E72D297353CC}">
              <c16:uniqueId val="{00000002-2B37-487D-9B6C-33BDB3254364}"/>
            </c:ext>
          </c:extLst>
        </c:ser>
        <c:ser>
          <c:idx val="3"/>
          <c:order val="3"/>
          <c:tx>
            <c:strRef>
              <c:f>'📈 Dashboard'!$B$81</c:f>
              <c:strCache>
                <c:ptCount val="1"/>
                <c:pt idx="0">
                  <c:v>N/A</c:v>
                </c:pt>
              </c:strCache>
            </c:strRef>
          </c:tx>
          <c:invertIfNegative val="1"/>
          <c:cat>
            <c:strRef>
              <c:f>'📈 Dashboard'!$C$77:$F$77</c:f>
              <c:strCache>
                <c:ptCount val="4"/>
                <c:pt idx="0">
                  <c:v>Fiserv</c:v>
                </c:pt>
                <c:pt idx="1">
                  <c:v>Checkout</c:v>
                </c:pt>
                <c:pt idx="2">
                  <c:v>Bank account</c:v>
                </c:pt>
                <c:pt idx="3">
                  <c:v>Prizeout</c:v>
                </c:pt>
              </c:strCache>
            </c:strRef>
          </c:cat>
          <c:val>
            <c:numRef>
              <c:f>'📈 Dashboard'!$C$81:$F$81</c:f>
              <c:numCache>
                <c:formatCode>0.00%</c:formatCode>
                <c:ptCount val="4"/>
                <c:pt idx="0">
                  <c:v>0</c:v>
                </c:pt>
                <c:pt idx="1">
                  <c:v>0</c:v>
                </c:pt>
                <c:pt idx="2">
                  <c:v>0</c:v>
                </c:pt>
                <c:pt idx="3">
                  <c:v>0</c:v>
                </c:pt>
              </c:numCache>
            </c:numRef>
          </c:val>
          <c:extLst>
            <c:ext xmlns:c16="http://schemas.microsoft.com/office/drawing/2014/chart" uri="{C3380CC4-5D6E-409C-BE32-E72D297353CC}">
              <c16:uniqueId val="{00000003-2B37-487D-9B6C-33BDB3254364}"/>
            </c:ext>
          </c:extLst>
        </c:ser>
        <c:ser>
          <c:idx val="4"/>
          <c:order val="4"/>
          <c:tx>
            <c:strRef>
              <c:f>'📈 Dashboard'!$B$82</c:f>
              <c:strCache>
                <c:ptCount val="1"/>
                <c:pt idx="0">
                  <c:v>Remaining</c:v>
                </c:pt>
              </c:strCache>
            </c:strRef>
          </c:tx>
          <c:invertIfNegative val="1"/>
          <c:cat>
            <c:strRef>
              <c:f>'📈 Dashboard'!$C$77:$F$77</c:f>
              <c:strCache>
                <c:ptCount val="4"/>
                <c:pt idx="0">
                  <c:v>Fiserv</c:v>
                </c:pt>
                <c:pt idx="1">
                  <c:v>Checkout</c:v>
                </c:pt>
                <c:pt idx="2">
                  <c:v>Bank account</c:v>
                </c:pt>
                <c:pt idx="3">
                  <c:v>Prizeout</c:v>
                </c:pt>
              </c:strCache>
            </c:strRef>
          </c:cat>
          <c:val>
            <c:numRef>
              <c:f>'📈 Dashboard'!$C$82:$F$82</c:f>
              <c:numCache>
                <c:formatCode>0.00%</c:formatCode>
                <c:ptCount val="4"/>
                <c:pt idx="0">
                  <c:v>0</c:v>
                </c:pt>
                <c:pt idx="1">
                  <c:v>0</c:v>
                </c:pt>
                <c:pt idx="2">
                  <c:v>0</c:v>
                </c:pt>
                <c:pt idx="3">
                  <c:v>0</c:v>
                </c:pt>
              </c:numCache>
            </c:numRef>
          </c:val>
          <c:extLst>
            <c:ext xmlns:c16="http://schemas.microsoft.com/office/drawing/2014/chart" uri="{C3380CC4-5D6E-409C-BE32-E72D297353CC}">
              <c16:uniqueId val="{00000004-2B37-487D-9B6C-33BDB3254364}"/>
            </c:ext>
          </c:extLst>
        </c:ser>
        <c:dLbls>
          <c:showLegendKey val="0"/>
          <c:showVal val="0"/>
          <c:showCatName val="0"/>
          <c:showSerName val="0"/>
          <c:showPercent val="0"/>
          <c:showBubbleSize val="0"/>
        </c:dLbls>
        <c:gapWidth val="150"/>
        <c:overlap val="100"/>
        <c:axId val="248059221"/>
        <c:axId val="437545024"/>
      </c:barChart>
      <c:catAx>
        <c:axId val="24805922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37545024"/>
        <c:crosses val="autoZero"/>
        <c:auto val="1"/>
        <c:lblAlgn val="ctr"/>
        <c:lblOffset val="100"/>
        <c:noMultiLvlLbl val="1"/>
      </c:catAx>
      <c:valAx>
        <c:axId val="437545024"/>
        <c:scaling>
          <c:orientation val="minMax"/>
        </c:scaling>
        <c:delete val="0"/>
        <c:axPos val="l"/>
        <c:numFmt formatCode="0%" sourceLinked="1"/>
        <c:majorTickMark val="cross"/>
        <c:minorTickMark val="cross"/>
        <c:tickLblPos val="nextTo"/>
        <c:spPr>
          <a:ln>
            <a:noFill/>
          </a:ln>
        </c:spPr>
        <c:crossAx val="248059221"/>
        <c:crosses val="autoZero"/>
        <c:crossBetween val="between"/>
      </c:valAx>
    </c:plotArea>
    <c:legend>
      <c:legendPos val="r"/>
      <c:overlay val="0"/>
      <c:txPr>
        <a:bodyPr/>
        <a:lstStyle/>
        <a:p>
          <a:pPr lvl="0">
            <a:defRPr b="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Overall Progress</a:t>
            </a:r>
          </a:p>
        </c:rich>
      </c:tx>
      <c:overlay val="0"/>
    </c:title>
    <c:autoTitleDeleted val="0"/>
    <c:plotArea>
      <c:layout/>
      <c:doughnutChart>
        <c:varyColors val="1"/>
        <c:ser>
          <c:idx val="0"/>
          <c:order val="0"/>
          <c:dPt>
            <c:idx val="0"/>
            <c:bubble3D val="0"/>
            <c:spPr>
              <a:solidFill>
                <a:schemeClr val="accent4"/>
              </a:solidFill>
            </c:spPr>
            <c:extLst>
              <c:ext xmlns:c16="http://schemas.microsoft.com/office/drawing/2014/chart" uri="{C3380CC4-5D6E-409C-BE32-E72D297353CC}">
                <c16:uniqueId val="{00000001-55C8-4EFA-A0F8-97B01B65DFBB}"/>
              </c:ext>
            </c:extLst>
          </c:dPt>
          <c:dPt>
            <c:idx val="1"/>
            <c:bubble3D val="0"/>
            <c:spPr>
              <a:solidFill>
                <a:srgbClr val="EA4335"/>
              </a:solidFill>
            </c:spPr>
            <c:extLst>
              <c:ext xmlns:c16="http://schemas.microsoft.com/office/drawing/2014/chart" uri="{C3380CC4-5D6E-409C-BE32-E72D297353CC}">
                <c16:uniqueId val="{00000003-55C8-4EFA-A0F8-97B01B65DFBB}"/>
              </c:ext>
            </c:extLst>
          </c:dPt>
          <c:dPt>
            <c:idx val="2"/>
            <c:bubble3D val="0"/>
            <c:spPr>
              <a:solidFill>
                <a:schemeClr val="accent2"/>
              </a:solidFill>
            </c:spPr>
            <c:extLst>
              <c:ext xmlns:c16="http://schemas.microsoft.com/office/drawing/2014/chart" uri="{C3380CC4-5D6E-409C-BE32-E72D297353CC}">
                <c16:uniqueId val="{00000005-55C8-4EFA-A0F8-97B01B65DFBB}"/>
              </c:ext>
            </c:extLst>
          </c:dPt>
          <c:dPt>
            <c:idx val="3"/>
            <c:bubble3D val="0"/>
            <c:spPr>
              <a:solidFill>
                <a:srgbClr val="B7B7B7"/>
              </a:solidFill>
            </c:spPr>
            <c:extLst>
              <c:ext xmlns:c16="http://schemas.microsoft.com/office/drawing/2014/chart" uri="{C3380CC4-5D6E-409C-BE32-E72D297353CC}">
                <c16:uniqueId val="{00000007-55C8-4EFA-A0F8-97B01B65DFBB}"/>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 Dashboard'!$J$92:$J$95</c:f>
              <c:strCache>
                <c:ptCount val="4"/>
                <c:pt idx="0">
                  <c:v>Pass</c:v>
                </c:pt>
                <c:pt idx="1">
                  <c:v>Acceptable</c:v>
                </c:pt>
                <c:pt idx="2">
                  <c:v>Fail</c:v>
                </c:pt>
                <c:pt idx="3">
                  <c:v>Remaining</c:v>
                </c:pt>
              </c:strCache>
            </c:strRef>
          </c:cat>
          <c:val>
            <c:numRef>
              <c:f>'📈 Dashboard'!$K$92:$K$95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55C8-4EFA-A0F8-97B01B65DFBB}"/>
            </c:ext>
          </c:extLst>
        </c:ser>
        <c:dLbls>
          <c:showLegendKey val="0"/>
          <c:showVal val="0"/>
          <c:showCatName val="0"/>
          <c:showSerName val="0"/>
          <c:showPercent val="0"/>
          <c:showBubbleSize val="0"/>
          <c:showLeaderLines val="1"/>
        </c:dLbls>
        <c:firstSliceAng val="0"/>
        <c:holeSize val="50"/>
      </c:doughnutChart>
    </c:plotArea>
    <c:legend>
      <c:legendPos val="t"/>
      <c:overlay val="0"/>
      <c:txPr>
        <a:bodyPr/>
        <a:lstStyle/>
        <a:p>
          <a:pPr lvl="0">
            <a:defRPr b="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Core - All QA Wolf tests</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1488-43C9-96E2-F3BE8662E7BC}"/>
              </c:ext>
            </c:extLst>
          </c:dPt>
          <c:dPt>
            <c:idx val="1"/>
            <c:bubble3D val="0"/>
            <c:spPr>
              <a:solidFill>
                <a:srgbClr val="EA4335"/>
              </a:solidFill>
            </c:spPr>
            <c:extLst>
              <c:ext xmlns:c16="http://schemas.microsoft.com/office/drawing/2014/chart" uri="{C3380CC4-5D6E-409C-BE32-E72D297353CC}">
                <c16:uniqueId val="{00000003-1488-43C9-96E2-F3BE8662E7BC}"/>
              </c:ext>
            </c:extLst>
          </c:dPt>
          <c:dPt>
            <c:idx val="2"/>
            <c:bubble3D val="0"/>
            <c:spPr>
              <a:solidFill>
                <a:schemeClr val="accent4"/>
              </a:solidFill>
            </c:spPr>
            <c:extLst>
              <c:ext xmlns:c16="http://schemas.microsoft.com/office/drawing/2014/chart" uri="{C3380CC4-5D6E-409C-BE32-E72D297353CC}">
                <c16:uniqueId val="{00000005-1488-43C9-96E2-F3BE8662E7BC}"/>
              </c:ext>
            </c:extLst>
          </c:dPt>
          <c:dPt>
            <c:idx val="3"/>
            <c:bubble3D val="0"/>
            <c:spPr>
              <a:solidFill>
                <a:schemeClr val="accent3"/>
              </a:solidFill>
            </c:spPr>
            <c:extLst>
              <c:ext xmlns:c16="http://schemas.microsoft.com/office/drawing/2014/chart" uri="{C3380CC4-5D6E-409C-BE32-E72D297353CC}">
                <c16:uniqueId val="{00000007-1488-43C9-96E2-F3BE8662E7BC}"/>
              </c:ext>
            </c:extLst>
          </c:dPt>
          <c:dPt>
            <c:idx val="4"/>
            <c:bubble3D val="0"/>
            <c:spPr>
              <a:solidFill>
                <a:schemeClr val="accent1"/>
              </a:solidFill>
            </c:spPr>
            <c:extLst>
              <c:ext xmlns:c16="http://schemas.microsoft.com/office/drawing/2014/chart" uri="{C3380CC4-5D6E-409C-BE32-E72D297353CC}">
                <c16:uniqueId val="{00000009-1488-43C9-96E2-F3BE8662E7BC}"/>
              </c:ext>
            </c:extLst>
          </c:dPt>
          <c:dPt>
            <c:idx val="5"/>
            <c:bubble3D val="0"/>
            <c:spPr>
              <a:solidFill>
                <a:srgbClr val="999999"/>
              </a:solidFill>
            </c:spPr>
            <c:extLst>
              <c:ext xmlns:c16="http://schemas.microsoft.com/office/drawing/2014/chart" uri="{C3380CC4-5D6E-409C-BE32-E72D297353CC}">
                <c16:uniqueId val="{0000000B-1488-43C9-96E2-F3BE8662E7BC}"/>
              </c:ext>
            </c:extLst>
          </c:dPt>
          <c:cat>
            <c:strRef>
              <c:f>'Core Stats'!$M$19:$M$26</c:f>
              <c:strCache>
                <c:ptCount val="3"/>
                <c:pt idx="0">
                  <c:v>QA Wolf Status</c:v>
                </c:pt>
                <c:pt idx="1">
                  <c:v>#REF!</c:v>
                </c:pt>
                <c:pt idx="2">
                  <c:v>Grand Total</c:v>
                </c:pt>
              </c:strCache>
            </c:strRef>
          </c:cat>
          <c:val>
            <c:numRef>
              <c:f>'Core Stats'!$N$19:$N$24</c:f>
              <c:numCache>
                <c:formatCode>General</c:formatCode>
                <c:ptCount val="6"/>
                <c:pt idx="0">
                  <c:v>0</c:v>
                </c:pt>
                <c:pt idx="1">
                  <c:v>106</c:v>
                </c:pt>
                <c:pt idx="2">
                  <c:v>106</c:v>
                </c:pt>
              </c:numCache>
            </c:numRef>
          </c:val>
          <c:extLst>
            <c:ext xmlns:c16="http://schemas.microsoft.com/office/drawing/2014/chart" uri="{C3380CC4-5D6E-409C-BE32-E72D297353CC}">
              <c16:uniqueId val="{0000000C-1488-43C9-96E2-F3BE8662E7B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Core - Smoke test suite</a:t>
            </a:r>
          </a:p>
        </c:rich>
      </c:tx>
      <c:overlay val="0"/>
    </c:title>
    <c:autoTitleDeleted val="0"/>
    <c:plotArea>
      <c:layout/>
      <c:pieChart>
        <c:varyColors val="1"/>
        <c:ser>
          <c:idx val="0"/>
          <c:order val="0"/>
          <c:tx>
            <c:strRef>
              <c:f>'Core Stats'!$H$19</c:f>
              <c:strCache>
                <c:ptCount val="1"/>
                <c:pt idx="0">
                  <c:v>COUNTA of QA Wolf Status</c:v>
                </c:pt>
              </c:strCache>
            </c:strRef>
          </c:tx>
          <c:dPt>
            <c:idx val="0"/>
            <c:bubble3D val="0"/>
            <c:spPr>
              <a:solidFill>
                <a:schemeClr val="accent4"/>
              </a:solidFill>
            </c:spPr>
            <c:extLst>
              <c:ext xmlns:c16="http://schemas.microsoft.com/office/drawing/2014/chart" uri="{C3380CC4-5D6E-409C-BE32-E72D297353CC}">
                <c16:uniqueId val="{00000001-AC49-45F1-8ECB-36EE757E0EE9}"/>
              </c:ext>
            </c:extLst>
          </c:dPt>
          <c:dPt>
            <c:idx val="1"/>
            <c:bubble3D val="0"/>
            <c:spPr>
              <a:solidFill>
                <a:schemeClr val="accent3"/>
              </a:solidFill>
            </c:spPr>
            <c:extLst>
              <c:ext xmlns:c16="http://schemas.microsoft.com/office/drawing/2014/chart" uri="{C3380CC4-5D6E-409C-BE32-E72D297353CC}">
                <c16:uniqueId val="{00000003-AC49-45F1-8ECB-36EE757E0EE9}"/>
              </c:ext>
            </c:extLst>
          </c:dPt>
          <c:dPt>
            <c:idx val="2"/>
            <c:bubble3D val="0"/>
            <c:spPr>
              <a:solidFill>
                <a:schemeClr val="accent1"/>
              </a:solidFill>
            </c:spPr>
            <c:extLst>
              <c:ext xmlns:c16="http://schemas.microsoft.com/office/drawing/2014/chart" uri="{C3380CC4-5D6E-409C-BE32-E72D297353CC}">
                <c16:uniqueId val="{00000005-AC49-45F1-8ECB-36EE757E0EE9}"/>
              </c:ext>
            </c:extLst>
          </c:dPt>
          <c:dPt>
            <c:idx val="3"/>
            <c:bubble3D val="0"/>
            <c:spPr>
              <a:solidFill>
                <a:srgbClr val="999999"/>
              </a:solidFill>
            </c:spPr>
            <c:extLst>
              <c:ext xmlns:c16="http://schemas.microsoft.com/office/drawing/2014/chart" uri="{C3380CC4-5D6E-409C-BE32-E72D297353CC}">
                <c16:uniqueId val="{00000007-AC49-45F1-8ECB-36EE757E0EE9}"/>
              </c:ext>
            </c:extLst>
          </c:dPt>
          <c:dPt>
            <c:idx val="4"/>
            <c:bubble3D val="0"/>
            <c:spPr>
              <a:solidFill>
                <a:schemeClr val="accent6"/>
              </a:solidFill>
            </c:spPr>
            <c:extLst>
              <c:ext xmlns:c16="http://schemas.microsoft.com/office/drawing/2014/chart" uri="{C3380CC4-5D6E-409C-BE32-E72D297353CC}">
                <c16:uniqueId val="{00000009-AC49-45F1-8ECB-36EE757E0EE9}"/>
              </c:ext>
            </c:extLst>
          </c:dPt>
          <c:cat>
            <c:strRef>
              <c:f>'Core Stats'!$G$20:$G$24</c:f>
              <c:strCache>
                <c:ptCount val="2"/>
                <c:pt idx="0">
                  <c:v>#REF!</c:v>
                </c:pt>
                <c:pt idx="1">
                  <c:v>Grand Total</c:v>
                </c:pt>
              </c:strCache>
            </c:strRef>
          </c:cat>
          <c:val>
            <c:numRef>
              <c:f>'Core Stats'!$H$20:$H$24</c:f>
              <c:numCache>
                <c:formatCode>General</c:formatCode>
                <c:ptCount val="5"/>
                <c:pt idx="0">
                  <c:v>106</c:v>
                </c:pt>
                <c:pt idx="1">
                  <c:v>106</c:v>
                </c:pt>
              </c:numCache>
            </c:numRef>
          </c:val>
          <c:extLst>
            <c:ext xmlns:c16="http://schemas.microsoft.com/office/drawing/2014/chart" uri="{C3380CC4-5D6E-409C-BE32-E72D297353CC}">
              <c16:uniqueId val="{0000000A-AC49-45F1-8ECB-36EE757E0EE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142875</xdr:colOff>
      <xdr:row>1</xdr:row>
      <xdr:rowOff>0</xdr:rowOff>
    </xdr:from>
    <xdr:ext cx="3676650" cy="284797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161925</xdr:colOff>
      <xdr:row>1</xdr:row>
      <xdr:rowOff>0</xdr:rowOff>
    </xdr:from>
    <xdr:ext cx="3676650" cy="284797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180975</xdr:colOff>
      <xdr:row>1</xdr:row>
      <xdr:rowOff>0</xdr:rowOff>
    </xdr:from>
    <xdr:ext cx="3676650" cy="2847975"/>
    <xdr:graphicFrame macro="">
      <xdr:nvGraphicFramePr>
        <xdr:cNvPr id="4" name="Chart 3"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142875</xdr:colOff>
      <xdr:row>16</xdr:row>
      <xdr:rowOff>180975</xdr:rowOff>
    </xdr:from>
    <xdr:ext cx="3676650" cy="2847975"/>
    <xdr:graphicFrame macro="">
      <xdr:nvGraphicFramePr>
        <xdr:cNvPr id="5" name="Chart 4" titl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xdr:col>
      <xdr:colOff>161925</xdr:colOff>
      <xdr:row>16</xdr:row>
      <xdr:rowOff>180975</xdr:rowOff>
    </xdr:from>
    <xdr:ext cx="3676650" cy="2847975"/>
    <xdr:graphicFrame macro="">
      <xdr:nvGraphicFramePr>
        <xdr:cNvPr id="6" name="Chart 5" title="Chart">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8</xdr:col>
      <xdr:colOff>180975</xdr:colOff>
      <xdr:row>16</xdr:row>
      <xdr:rowOff>180975</xdr:rowOff>
    </xdr:from>
    <xdr:ext cx="3676650" cy="2847975"/>
    <xdr:graphicFrame macro="">
      <xdr:nvGraphicFramePr>
        <xdr:cNvPr id="7" name="Chart 6" title="Chart">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10</xdr:col>
      <xdr:colOff>266700</xdr:colOff>
      <xdr:row>0</xdr:row>
      <xdr:rowOff>0</xdr:rowOff>
    </xdr:from>
    <xdr:ext cx="5715000" cy="3533775"/>
    <xdr:graphicFrame macro="">
      <xdr:nvGraphicFramePr>
        <xdr:cNvPr id="7" name="Chart 7" title="Chart">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0</xdr:colOff>
      <xdr:row>1</xdr:row>
      <xdr:rowOff>0</xdr:rowOff>
    </xdr:from>
    <xdr:ext cx="5715000" cy="3533775"/>
    <xdr:graphicFrame macro="">
      <xdr:nvGraphicFramePr>
        <xdr:cNvPr id="8" name="Chart 8" title="Chart">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re' Blackman" refreshedDate="46028.993983101849" refreshedVersion="8" recordCount="106" xr:uid="{00000000-000A-0000-FFFF-FFFF00000000}">
  <cacheSource type="worksheet">
    <worksheetSource ref="A1:E107" sheet="Core Stats"/>
  </cacheSource>
  <cacheFields count="5">
    <cacheField name="QA Wolf Workflow Name" numFmtId="0">
      <sharedItems/>
    </cacheField>
    <cacheField name="Area" numFmtId="0">
      <sharedItems/>
    </cacheField>
    <cacheField name="QA Wolf Status" numFmtId="0">
      <sharedItems containsMixedTypes="1" containsNumber="1" containsInteger="1" minValue="0" maxValue="0" count="2">
        <e v="#REF!"/>
        <n v="0" u="1"/>
      </sharedItems>
    </cacheField>
    <cacheField name="ARB Status" numFmtId="0">
      <sharedItems/>
    </cacheField>
    <cacheField name="Release blocker?" numFmtId="0">
      <sharedItems containsMixedTypes="1" containsNumber="1" containsInteger="1" minValue="0" maxValue="0" count="2">
        <e v="#REF!"/>
        <n v="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r>
    <e v="#REF!"/>
    <s v="Modo"/>
    <x v="0"/>
    <e v="#REF!"/>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Core Stats" cacheId="5" applyNumberFormats="0" applyBorderFormats="0" applyFontFormats="0" applyPatternFormats="0" applyAlignmentFormats="0" applyWidthHeightFormats="0" dataCaption="" updatedVersion="8" compact="0" compactData="0">
  <location ref="G19:H21" firstHeaderRow="1" firstDataRow="1" firstDataCol="1" rowPageCount="1" colPageCount="1"/>
  <pivotFields count="5">
    <pivotField name="QA Wolf Workflow Name" compact="0" outline="0" multipleItemSelectionAllowed="1" showAll="0"/>
    <pivotField name="Area" compact="0" outline="0" multipleItemSelectionAllowed="1" showAll="0"/>
    <pivotField name="QA Wolf Status" axis="axisRow" dataField="1" compact="0" outline="0" multipleItemSelectionAllowed="1" showAll="0" sortType="ascending">
      <items count="3">
        <item m="1" x="1"/>
        <item x="0"/>
        <item t="default"/>
      </items>
    </pivotField>
    <pivotField name="ARB Status" compact="0" outline="0" multipleItemSelectionAllowed="1" showAll="0"/>
    <pivotField name="Release blocker?" axis="axisPage" compact="0" outline="0" multipleItemSelectionAllowed="1" showAll="0">
      <items count="3">
        <item x="0"/>
        <item h="1" m="1" x="1"/>
        <item t="default"/>
      </items>
    </pivotField>
  </pivotFields>
  <rowFields count="1">
    <field x="2"/>
  </rowFields>
  <rowItems count="2">
    <i>
      <x v="1"/>
    </i>
    <i t="grand">
      <x/>
    </i>
  </rowItems>
  <colItems count="1">
    <i/>
  </colItems>
  <pageFields count="1">
    <pageField fld="4" hier="0"/>
  </pageFields>
  <dataFields count="1">
    <dataField name="COUNTA of QA Wolf Status" fld="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Core Stats 2" cacheId="5" applyNumberFormats="0" applyBorderFormats="0" applyFontFormats="0" applyPatternFormats="0" applyAlignmentFormats="0" applyWidthHeightFormats="0" dataCaption="" updatedVersion="8" compact="0" compactData="0">
  <location ref="M19:N21" firstHeaderRow="1" firstDataRow="1" firstDataCol="1" rowPageCount="1" colPageCount="1"/>
  <pivotFields count="5">
    <pivotField name="QA Wolf Workflow Name" compact="0" outline="0" multipleItemSelectionAllowed="1" showAll="0"/>
    <pivotField name="Area" compact="0" outline="0" multipleItemSelectionAllowed="1" showAll="0"/>
    <pivotField name="QA Wolf Status" axis="axisRow" dataField="1" compact="0" outline="0" multipleItemSelectionAllowed="1" showAll="0" sortType="ascending">
      <items count="3">
        <item m="1" x="1"/>
        <item x="0"/>
        <item t="default"/>
      </items>
    </pivotField>
    <pivotField name="ARB Status" compact="0" outline="0" multipleItemSelectionAllowed="1" showAll="0"/>
    <pivotField name="Release blocker?" axis="axisPage" compact="0" outline="0" multipleItemSelectionAllowed="1" showAll="0">
      <items count="3">
        <item x="0"/>
        <item h="1" m="1" x="1"/>
        <item t="default"/>
      </items>
    </pivotField>
  </pivotFields>
  <rowFields count="1">
    <field x="2"/>
  </rowFields>
  <rowItems count="2">
    <i>
      <x v="1"/>
    </i>
    <i t="grand">
      <x/>
    </i>
  </rowItems>
  <colItems count="1">
    <i/>
  </colItems>
  <pageFields count="1">
    <pageField fld="4" hier="0"/>
  </pageFields>
  <dataFields count="1">
    <dataField name="COUNTA of QA Wolf Status" fld="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P_Index" displayName="TP_Index" ref="A1:L24">
  <tableColumns count="12">
    <tableColumn id="1" xr3:uid="{00000000-0010-0000-0000-000001000000}" name="Staging Modo.us"/>
    <tableColumn id="2" xr3:uid="{00000000-0010-0000-0000-000002000000}" name="Results"/>
    <tableColumn id="3" xr3:uid="{00000000-0010-0000-0000-000003000000}" name="Games"/>
    <tableColumn id="4" xr3:uid="{00000000-0010-0000-0000-000004000000}" name="Results 2"/>
    <tableColumn id="5" xr3:uid="{00000000-0010-0000-0000-000005000000}" name="Back Office (BO)"/>
    <tableColumn id="6" xr3:uid="{00000000-0010-0000-0000-000006000000}" name="Results 3"/>
    <tableColumn id="7" xr3:uid="{00000000-0010-0000-0000-000007000000}" name="Cohorts"/>
    <tableColumn id="8" xr3:uid="{00000000-0010-0000-0000-000008000000}" name="Results 4"/>
    <tableColumn id="9" xr3:uid="{00000000-0010-0000-0000-000009000000}" name="Payments"/>
    <tableColumn id="10" xr3:uid="{00000000-0010-0000-0000-00000A000000}" name="Results 5"/>
    <tableColumn id="11" xr3:uid="{00000000-0010-0000-0000-00000B000000}" name="Redemptions"/>
    <tableColumn id="12" xr3:uid="{00000000-0010-0000-0000-00000C000000}" name="Results 6"/>
  </tableColumns>
  <tableStyleInfo name="TP Index-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moke_test_suite" displayName="Smoke_test_suite" ref="B3:G271">
  <autoFilter ref="B3:G271" xr:uid="{00000000-0009-0000-0100-000002000000}"/>
  <tableColumns count="6">
    <tableColumn id="1" xr3:uid="{00000000-0010-0000-0100-000001000000}" name="Team"/>
    <tableColumn id="2" xr3:uid="{00000000-0010-0000-0100-000002000000}" name="Test description"/>
    <tableColumn id="3" xr3:uid="{00000000-0010-0000-0100-000003000000}" name="Priority"/>
    <tableColumn id="4" xr3:uid="{00000000-0010-0000-0100-000004000000}" name="Status"/>
    <tableColumn id="5" xr3:uid="{00000000-0010-0000-0100-000005000000}" name="QA Wolf test name"/>
    <tableColumn id="6" xr3:uid="{00000000-0010-0000-0100-000006000000}" name="Duplicate Coverage"/>
  </tableColumns>
  <tableStyleInfo name="Smoke suite statu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st_Status" displayName="Test_Status" ref="A1:E107">
  <autoFilter ref="A1:E107" xr:uid="{00000000-0009-0000-0100-000003000000}"/>
  <tableColumns count="5">
    <tableColumn id="1" xr3:uid="{00000000-0010-0000-0200-000001000000}" name="QA Wolf Workflow Name"/>
    <tableColumn id="2" xr3:uid="{00000000-0010-0000-0200-000002000000}" name="Area"/>
    <tableColumn id="3" xr3:uid="{00000000-0010-0000-0200-000003000000}" name="QA Wolf Status"/>
    <tableColumn id="4" xr3:uid="{00000000-0010-0000-0200-000004000000}" name="ARB Status"/>
    <tableColumn id="5" xr3:uid="{00000000-0010-0000-0200-000005000000}" name="Release blocker?"/>
  </tableColumns>
  <tableStyleInfo name="Core Stat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nual_smoke_tests" displayName="Manual_smoke_tests" ref="R1:T7">
  <tableColumns count="3">
    <tableColumn id="1" xr3:uid="{00000000-0010-0000-0300-000001000000}" name="Date"/>
    <tableColumn id="2" xr3:uid="{00000000-0010-0000-0300-000002000000}" name="QA Wolf tests"/>
    <tableColumn id="3" xr3:uid="{00000000-0010-0000-0300-000003000000}" name="Duration"/>
  </tableColumns>
  <tableStyleInfo name="Core Stats-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ssue_Tracker" displayName="Issue_Tracker" ref="A1:G996">
  <autoFilter ref="A1:G996" xr:uid="{00000000-0009-0000-0100-000008000000}">
    <filterColumn colId="2">
      <filters>
        <filter val="#REF!"/>
      </filters>
    </filterColumn>
  </autoFilter>
  <tableColumns count="7">
    <tableColumn id="1" xr3:uid="{00000000-0010-0000-0700-000001000000}" name="Row #"/>
    <tableColumn id="2" xr3:uid="{00000000-0010-0000-0700-000002000000}" name="Tab name"/>
    <tableColumn id="3" xr3:uid="{00000000-0010-0000-0700-000003000000}" name="Comments"/>
    <tableColumn id="4" xr3:uid="{00000000-0010-0000-0700-000004000000}" name="Issue Type"/>
    <tableColumn id="5" xr3:uid="{00000000-0010-0000-0700-000005000000}" name="Priority"/>
    <tableColumn id="6" xr3:uid="{00000000-0010-0000-0700-000006000000}" name="Status"/>
    <tableColumn id="7" xr3:uid="{00000000-0010-0000-0700-000007000000}" name="Next steps/comments"/>
  </tableColumns>
  <tableStyleInfo name="Issue tracker-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est_Cards_Bank" displayName="Test_Cards_Bank" ref="A1:C24">
  <tableColumns count="3">
    <tableColumn id="1" xr3:uid="{00000000-0010-0000-0800-000001000000}" name="Test cards"/>
    <tableColumn id="2" xr3:uid="{00000000-0010-0000-0800-000002000000}" name="Pay processor documentation"/>
    <tableColumn id="3" xr3:uid="{00000000-0010-0000-0800-000003000000}" name="Test Routing number"/>
  </tableColumns>
  <tableStyleInfo name="Test CardsBank-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6" Type="http://schemas.openxmlformats.org/officeDocument/2006/relationships/hyperlink" Target="https://app.qawolf.com/arb-interactive/environments/macj24kwh5o66gwyrw4n39unogen/workflows/g9qiiypn1mgkrdth8rexe3p9owor" TargetMode="External"/><Relationship Id="rId21" Type="http://schemas.openxmlformats.org/officeDocument/2006/relationships/hyperlink" Target="https://app.qawolf.com/arb-interactive/environments/macj24kwh5o66gwyrw4n39unogen/workflows/jgzehpzuftk8vdgj5ouka1nuowor" TargetMode="External"/><Relationship Id="rId42" Type="http://schemas.openxmlformats.org/officeDocument/2006/relationships/hyperlink" Target="https://app.qawolf.com/arb-interactive/environments/macj24kwh5o66gwyrw4n39unogen/workflows/sxwx36rrwqwpidzdzp43dobwowor" TargetMode="External"/><Relationship Id="rId47" Type="http://schemas.openxmlformats.org/officeDocument/2006/relationships/hyperlink" Target="https://app.qawolf.com/arb-interactive/environments/macj24kwh5o66gwyrw4n39unogen/workflows/rjcgyuwslny4ouky08a0xik8owor" TargetMode="External"/><Relationship Id="rId63" Type="http://schemas.openxmlformats.org/officeDocument/2006/relationships/hyperlink" Target="https://app.qawolf.com/arb-interactive/environments/macj24kwh5o66gwyrw4n39unogen/workflows/l0dw9vk6i6llbobn2jeyijn8owor" TargetMode="External"/><Relationship Id="rId68" Type="http://schemas.openxmlformats.org/officeDocument/2006/relationships/hyperlink" Target="https://app.qawolf.com/arb-interactive/environments/macj24kwh5o66gwyrw4n39unogen/workflows/yibzvkyri2zxj4959in264jtowor" TargetMode="External"/><Relationship Id="rId84" Type="http://schemas.openxmlformats.org/officeDocument/2006/relationships/hyperlink" Target="https://app.qawolf.com/arb-interactive/environments/macj24kwh5o66gwyrw4n39unogen/workflows/m2sikhc71v0fzegy6v4xy3y6owor" TargetMode="External"/><Relationship Id="rId89" Type="http://schemas.openxmlformats.org/officeDocument/2006/relationships/hyperlink" Target="https://app.qawolf.com/arb-interactive/environments/macj24kwh5o66gwyrw4n39unogen/workflows/uh86t3rove7sfunim30ui2ndowor" TargetMode="External"/><Relationship Id="rId16" Type="http://schemas.openxmlformats.org/officeDocument/2006/relationships/hyperlink" Target="https://app.qawolf.com/arb-interactive/environments/ujhlkhftn4xyktpokfne1rckogen/flows/d9vb8man2v7li4ic4n0i0oygowor" TargetMode="External"/><Relationship Id="rId11" Type="http://schemas.openxmlformats.org/officeDocument/2006/relationships/hyperlink" Target="https://app.qawolf.com/arb-interactive/environments/ujhlkhftn4xyktpokfne1rckogen/flows/dlhff28z3ymq6d2yac4tfo2wowor" TargetMode="External"/><Relationship Id="rId32" Type="http://schemas.openxmlformats.org/officeDocument/2006/relationships/hyperlink" Target="https://app.qawolf.com/arb-interactive/environments/macj24kwh5o66gwyrw4n39unogen/workflows/h0zro1slyfjiia00w26n0865owor" TargetMode="External"/><Relationship Id="rId37" Type="http://schemas.openxmlformats.org/officeDocument/2006/relationships/hyperlink" Target="https://app.qawolf.com/arb-interactive/environments/macj24kwh5o66gwyrw4n39unogen/workflows/hepnvast7fdm0m0ari87dbqcowor" TargetMode="External"/><Relationship Id="rId53" Type="http://schemas.openxmlformats.org/officeDocument/2006/relationships/hyperlink" Target="https://app.qawolf.com/arb-interactive/environments/macj24kwh5o66gwyrw4n39unogen/workflows/qk9w5nztklbmyob7598pk9koowor" TargetMode="External"/><Relationship Id="rId58" Type="http://schemas.openxmlformats.org/officeDocument/2006/relationships/hyperlink" Target="https://app.qawolf.com/arb-interactive/environments/macj24kwh5o66gwyrw4n39unogen/workflows/qi3hf1rykjfincu05n5z70l8owor" TargetMode="External"/><Relationship Id="rId74" Type="http://schemas.openxmlformats.org/officeDocument/2006/relationships/hyperlink" Target="https://app.qawolf.com/arb-interactive/environments/macj24kwh5o66gwyrw4n39unogen/workflows/nvi1yg77qvt9hv7e0kuzp8x0owor" TargetMode="External"/><Relationship Id="rId79" Type="http://schemas.openxmlformats.org/officeDocument/2006/relationships/hyperlink" Target="https://app.qawolf.com/arb-interactive/environments/macj24kwh5o66gwyrw4n39unogen/workflows/ok5gwmywndoidkxesjoi63vqowor" TargetMode="External"/><Relationship Id="rId102" Type="http://schemas.openxmlformats.org/officeDocument/2006/relationships/table" Target="../tables/table2.xml"/><Relationship Id="rId5" Type="http://schemas.openxmlformats.org/officeDocument/2006/relationships/hyperlink" Target="https://app.qawolf.com/v3/arb-interactive/environments/ujhlkhftn4xyktpokfne1rckogen/flows/u3c3oklklyzwa6wcajke6cb6owor" TargetMode="External"/><Relationship Id="rId90" Type="http://schemas.openxmlformats.org/officeDocument/2006/relationships/hyperlink" Target="https://app.qawolf.com/arb-interactive/environments/macj24kwh5o66gwyrw4n39unogen/workflows/q6664boi8bw0ynccjlr2wy0eowor" TargetMode="External"/><Relationship Id="rId95" Type="http://schemas.openxmlformats.org/officeDocument/2006/relationships/hyperlink" Target="https://app.qawolf.com/arb-interactive/environments/macj24kwh5o66gwyrw4n39unogen/workflows/ebvvj7bk40vizs244b2sjkjmowor" TargetMode="External"/><Relationship Id="rId22" Type="http://schemas.openxmlformats.org/officeDocument/2006/relationships/hyperlink" Target="https://app.qawolf.com/arb-interactive/environments/macj24kwh5o66gwyrw4n39unogen/workflows/q1nreco0n1z2slj5zlewg1d1owor" TargetMode="External"/><Relationship Id="rId27" Type="http://schemas.openxmlformats.org/officeDocument/2006/relationships/hyperlink" Target="https://app.qawolf.com/arb-interactive/environments/macj24kwh5o66gwyrw4n39unogen/workflows/b3lvd4xhta5fr5vttesvsehvowor" TargetMode="External"/><Relationship Id="rId43" Type="http://schemas.openxmlformats.org/officeDocument/2006/relationships/hyperlink" Target="https://app.qawolf.com/arb-interactive/environments/macj24kwh5o66gwyrw4n39unogen/workflows/lrjhhnes436xwldeb1svxcxsowor" TargetMode="External"/><Relationship Id="rId48" Type="http://schemas.openxmlformats.org/officeDocument/2006/relationships/hyperlink" Target="https://app.qawolf.com/arb-interactive/environments/macj24kwh5o66gwyrw4n39unogen/workflows/ho9sibr8pt2twaj3hzlqz828owor" TargetMode="External"/><Relationship Id="rId64" Type="http://schemas.openxmlformats.org/officeDocument/2006/relationships/hyperlink" Target="https://app.qawolf.com/arb-interactive/environments/macj24kwh5o66gwyrw4n39unogen/workflows/u5iwdcxzih30rm84i5iolirmowor" TargetMode="External"/><Relationship Id="rId69" Type="http://schemas.openxmlformats.org/officeDocument/2006/relationships/hyperlink" Target="https://app.qawolf.com/arb-interactive/environments/macj24kwh5o66gwyrw4n39unogen/workflows/ga20fjf1et8jllaejj7w4wh8owor" TargetMode="External"/><Relationship Id="rId80" Type="http://schemas.openxmlformats.org/officeDocument/2006/relationships/hyperlink" Target="https://app.qawolf.com/arb-interactive/environments/macj24kwh5o66gwyrw4n39unogen/workflows/qlsrdirgjq9nr53qclccejvxowor" TargetMode="External"/><Relationship Id="rId85" Type="http://schemas.openxmlformats.org/officeDocument/2006/relationships/hyperlink" Target="https://app.qawolf.com/arb-interactive/environments/macj24kwh5o66gwyrw4n39unogen/workflows/qz20n7fgsqmjonjmjxlqkq6uowor" TargetMode="External"/><Relationship Id="rId12" Type="http://schemas.openxmlformats.org/officeDocument/2006/relationships/hyperlink" Target="https://app.qawolf.com/arb-interactive/environments/ujhlkhftn4xyktpokfne1rckogen/flows/j4i7c16ugatoc6w9fky6tthtowor" TargetMode="External"/><Relationship Id="rId17" Type="http://schemas.openxmlformats.org/officeDocument/2006/relationships/hyperlink" Target="https://app.qawolf.com/arb-interactive/environments/ujhlkhftn4xyktpokfne1rckogen/flows/joa8z4845ko706shgwmn1iekowor" TargetMode="External"/><Relationship Id="rId25" Type="http://schemas.openxmlformats.org/officeDocument/2006/relationships/hyperlink" Target="https://app.qawolf.com/arb-interactive/environments/macj24kwh5o66gwyrw4n39unogen/workflows/jryzwp5bq3pmbyrosh1hw3yfowor" TargetMode="External"/><Relationship Id="rId33" Type="http://schemas.openxmlformats.org/officeDocument/2006/relationships/hyperlink" Target="https://app.qawolf.com/arb-interactive/environments/macj24kwh5o66gwyrw4n39unogen/workflows/nfi4qw81w3funvgpzzo7rdw8owor" TargetMode="External"/><Relationship Id="rId38" Type="http://schemas.openxmlformats.org/officeDocument/2006/relationships/hyperlink" Target="https://app.qawolf.com/arb-interactive/environments/macj24kwh5o66gwyrw4n39unogen/workflows/yp6o7z1l5me56dc6fnpgjoe2owor" TargetMode="External"/><Relationship Id="rId46" Type="http://schemas.openxmlformats.org/officeDocument/2006/relationships/hyperlink" Target="https://app.qawolf.com/arb-interactive/environments/macj24kwh5o66gwyrw4n39unogen/workflows/s5535z71p1uxz3ejix107tabowor" TargetMode="External"/><Relationship Id="rId59" Type="http://schemas.openxmlformats.org/officeDocument/2006/relationships/hyperlink" Target="https://app.qawolf.com/arb-interactive/environments/macj24kwh5o66gwyrw4n39unogen/workflows/helw41l7ss6p6kza7m5jqwnqowor" TargetMode="External"/><Relationship Id="rId67" Type="http://schemas.openxmlformats.org/officeDocument/2006/relationships/hyperlink" Target="https://app.qawolf.com/arb-interactive/environments/macj24kwh5o66gwyrw4n39unogen/workflows/iav5qhwrsjjft0j6dnnezkezowor" TargetMode="External"/><Relationship Id="rId20" Type="http://schemas.openxmlformats.org/officeDocument/2006/relationships/hyperlink" Target="https://app.qawolf.com/arb-interactive/environments/macj24kwh5o66gwyrw4n39unogen/workflows/grz4vosu09ydk8zthmnjfh6sowor" TargetMode="External"/><Relationship Id="rId41" Type="http://schemas.openxmlformats.org/officeDocument/2006/relationships/hyperlink" Target="https://app.qawolf.com/arb-interactive/environments/macj24kwh5o66gwyrw4n39unogen/workflows/ff5l4q72dbdalkxlzi649nocowor" TargetMode="External"/><Relationship Id="rId54" Type="http://schemas.openxmlformats.org/officeDocument/2006/relationships/hyperlink" Target="https://app.qawolf.com/arb-interactive/environments/macj24kwh5o66gwyrw4n39unogen/workflows/nssbs7ju3f0ekc0m1qmnmajlowor" TargetMode="External"/><Relationship Id="rId62" Type="http://schemas.openxmlformats.org/officeDocument/2006/relationships/hyperlink" Target="https://app.qawolf.com/arb-interactive/environments/macj24kwh5o66gwyrw4n39unogen/workflows/l7x8ip0z9zulrpted1l85mi8owor" TargetMode="External"/><Relationship Id="rId70" Type="http://schemas.openxmlformats.org/officeDocument/2006/relationships/hyperlink" Target="https://app.qawolf.com/arb-interactive/environments/macj24kwh5o66gwyrw4n39unogen/workflows/g905vdgl2gbnev2m2zkwdh98owor" TargetMode="External"/><Relationship Id="rId75" Type="http://schemas.openxmlformats.org/officeDocument/2006/relationships/hyperlink" Target="https://app.qawolf.com/arb-interactive/environments/macj24kwh5o66gwyrw4n39unogen/workflows/saaabyguvh40ka4j51vhi8rbowor" TargetMode="External"/><Relationship Id="rId83" Type="http://schemas.openxmlformats.org/officeDocument/2006/relationships/hyperlink" Target="https://app.qawolf.com/arb-interactive/environments/macj24kwh5o66gwyrw4n39unogen/workflows/yu3l89nvax0kc8lnsdbvoif4owor" TargetMode="External"/><Relationship Id="rId88" Type="http://schemas.openxmlformats.org/officeDocument/2006/relationships/hyperlink" Target="https://app.qawolf.com/arb-interactive/environments/macj24kwh5o66gwyrw4n39unogen/workflows/dqeb72avwc22anskffhswtwxowor" TargetMode="External"/><Relationship Id="rId91" Type="http://schemas.openxmlformats.org/officeDocument/2006/relationships/hyperlink" Target="https://app.qawolf.com/arb-interactive/environments/macj24kwh5o66gwyrw4n39unogen/workflows/w5j88rr8q6qii4g2n6kaxsx6owor" TargetMode="External"/><Relationship Id="rId96" Type="http://schemas.openxmlformats.org/officeDocument/2006/relationships/hyperlink" Target="https://app.qawolf.com/arb-interactive/environments/macj24kwh5o66gwyrw4n39unogen/workflows/g37lx7s2pkgd0ksy7bf5qq8mowor" TargetMode="External"/><Relationship Id="rId1" Type="http://schemas.openxmlformats.org/officeDocument/2006/relationships/hyperlink" Target="https://app.qawolf.com/v3/arb-interactive/environments/ujhlkhftn4xyktpokfne1rckogen/flows/q48mf4mp5jiy4opo0cw7s8taowor" TargetMode="External"/><Relationship Id="rId6" Type="http://schemas.openxmlformats.org/officeDocument/2006/relationships/hyperlink" Target="https://app.qawolf.com/arb-interactive/environments/ujhlkhftn4xyktpokfne1rckogen/flows/nsklocaglp14pme7t3mo3h5qowor" TargetMode="External"/><Relationship Id="rId15" Type="http://schemas.openxmlformats.org/officeDocument/2006/relationships/hyperlink" Target="https://app.qawolf.com/arb-interactive/environments/ujhlkhftn4xyktpokfne1rckogen/flows/zbugbklg87en8e5hthe0glr8owor" TargetMode="External"/><Relationship Id="rId23" Type="http://schemas.openxmlformats.org/officeDocument/2006/relationships/hyperlink" Target="https://app.qawolf.com/arb-interactive/environments/macj24kwh5o66gwyrw4n39unogen/workflows/doox6ynubpeiooyd1c2s1ni0owor" TargetMode="External"/><Relationship Id="rId28" Type="http://schemas.openxmlformats.org/officeDocument/2006/relationships/hyperlink" Target="https://app.qawolf.com/arb-interactive/environments/macj24kwh5o66gwyrw4n39unogen/workflows/b3lvd4xhta5fr5vttesvsehvowor" TargetMode="External"/><Relationship Id="rId36" Type="http://schemas.openxmlformats.org/officeDocument/2006/relationships/hyperlink" Target="https://app.qawolf.com/arb-interactive/environments/macj24kwh5o66gwyrw4n39unogen/workflows/d4dadj3jzluhlx9ncbxp7q2bowor" TargetMode="External"/><Relationship Id="rId49" Type="http://schemas.openxmlformats.org/officeDocument/2006/relationships/hyperlink" Target="https://app.qawolf.com/arb-interactive/environments/macj24kwh5o66gwyrw4n39unogen/workflows/h7cqbci0lxugkpcytrzg5vi4owor" TargetMode="External"/><Relationship Id="rId57" Type="http://schemas.openxmlformats.org/officeDocument/2006/relationships/hyperlink" Target="https://app.qawolf.com/arb-interactive/environments/macj24kwh5o66gwyrw4n39unogen/workflows/cm8hkxa9hcj8sp6ve5xygtojowor" TargetMode="External"/><Relationship Id="rId10" Type="http://schemas.openxmlformats.org/officeDocument/2006/relationships/hyperlink" Target="https://app.qawolf.com/arb-interactive/environments/ujhlkhftn4xyktpokfne1rckogen/flows/df1h6yuvnn1nyk1w55oaqchpowor" TargetMode="External"/><Relationship Id="rId31" Type="http://schemas.openxmlformats.org/officeDocument/2006/relationships/hyperlink" Target="https://app.qawolf.com/arb-interactive/environments/macj24kwh5o66gwyrw4n39unogen/workflows/ax820u4nxgm42luzk6uqlxyyowor" TargetMode="External"/><Relationship Id="rId44" Type="http://schemas.openxmlformats.org/officeDocument/2006/relationships/hyperlink" Target="https://app.qawolf.com/arb-interactive/environments/macj24kwh5o66gwyrw4n39unogen/workflows/v3bnfjlr089he89y3wmn6sfkowor" TargetMode="External"/><Relationship Id="rId52" Type="http://schemas.openxmlformats.org/officeDocument/2006/relationships/hyperlink" Target="https://app.qawolf.com/arb-interactive/environments/macj24kwh5o66gwyrw4n39unogen/workflows/h7cqbci0lxugkpcytrzg5vi4owor" TargetMode="External"/><Relationship Id="rId60" Type="http://schemas.openxmlformats.org/officeDocument/2006/relationships/hyperlink" Target="https://app.qawolf.com/arb-interactive/environments/macj24kwh5o66gwyrw4n39unogen/workflows/ok5gwmywndoidkxesjoi63vqowor" TargetMode="External"/><Relationship Id="rId65" Type="http://schemas.openxmlformats.org/officeDocument/2006/relationships/hyperlink" Target="https://app.qawolf.com/arb-interactive/environments/macj24kwh5o66gwyrw4n39unogen/workflows/yw1l7ppyceia7g8f6f0r3lawowor" TargetMode="External"/><Relationship Id="rId73" Type="http://schemas.openxmlformats.org/officeDocument/2006/relationships/hyperlink" Target="https://app.qawolf.com/arb-interactive/environments/macj24kwh5o66gwyrw4n39unogen/workflows/vrf1b42jfa5ldekrer3kt39howor" TargetMode="External"/><Relationship Id="rId78" Type="http://schemas.openxmlformats.org/officeDocument/2006/relationships/hyperlink" Target="https://app.qawolf.com/arb-interactive/environments/macj24kwh5o66gwyrw4n39unogen/workflows/ok5gwmywndoidkxesjoi63vqowor" TargetMode="External"/><Relationship Id="rId81" Type="http://schemas.openxmlformats.org/officeDocument/2006/relationships/hyperlink" Target="https://app.qawolf.com/arb-interactive/environments/macj24kwh5o66gwyrw4n39unogen/workflows/tb4a7hycuhs44ba8soe8hf8mowor" TargetMode="External"/><Relationship Id="rId86" Type="http://schemas.openxmlformats.org/officeDocument/2006/relationships/hyperlink" Target="https://app.qawolf.com/arb-interactive/environments/macj24kwh5o66gwyrw4n39unogen/workflows/hhkge9w9ts55s4wf8ko2ugcrowor" TargetMode="External"/><Relationship Id="rId94" Type="http://schemas.openxmlformats.org/officeDocument/2006/relationships/hyperlink" Target="https://app.qawolf.com/arb-interactive/environments/macj24kwh5o66gwyrw4n39unogen/workflows/vud5xotpu6226a23igonh2enowor" TargetMode="External"/><Relationship Id="rId99" Type="http://schemas.openxmlformats.org/officeDocument/2006/relationships/hyperlink" Target="https://app.qawolf.com/arb-interactive/environments/macj24kwh5o66gwyrw4n39unogen/workflows/z1my9wslxm38oyml6r6gmdkxowor" TargetMode="External"/><Relationship Id="rId101" Type="http://schemas.openxmlformats.org/officeDocument/2006/relationships/hyperlink" Target="https://app.qawolf.com/arb-interactive/environments/macj24kwh5o66gwyrw4n39unogen/workflows/jwpspbpw6yk3nz7o221q726kowor" TargetMode="External"/><Relationship Id="rId4" Type="http://schemas.openxmlformats.org/officeDocument/2006/relationships/hyperlink" Target="https://app.qawolf.com/v3/arb-interactive/environments/ujhlkhftn4xyktpokfne1rckogen/flows/p2dwvv6dof55ymuz4aovkhj4owor" TargetMode="External"/><Relationship Id="rId9" Type="http://schemas.openxmlformats.org/officeDocument/2006/relationships/hyperlink" Target="https://app.qawolf.com/arb-interactive/environments/ujhlkhftn4xyktpokfne1rckogen/flows/hth060pnnhvits0kw7nqinpaowor" TargetMode="External"/><Relationship Id="rId13" Type="http://schemas.openxmlformats.org/officeDocument/2006/relationships/hyperlink" Target="https://app.qawolf.com/arb-interactive/environments/ujhlkhftn4xyktpokfne1rckogen/flows/pwe4488x03nc6gk59dbwgq0sowor" TargetMode="External"/><Relationship Id="rId18" Type="http://schemas.openxmlformats.org/officeDocument/2006/relationships/hyperlink" Target="https://app.qawolf.com/arb-interactive/environments/macj24kwh5o66gwyrw4n39unogen/workflows/h8vjj0g8fd7tlesdlphtzgdlowor" TargetMode="External"/><Relationship Id="rId39" Type="http://schemas.openxmlformats.org/officeDocument/2006/relationships/hyperlink" Target="https://app.qawolf.com/arb-interactive/environments/macj24kwh5o66gwyrw4n39unogen/workflows/q1nreco0n1z2slj5zlewg1d1owor" TargetMode="External"/><Relationship Id="rId34" Type="http://schemas.openxmlformats.org/officeDocument/2006/relationships/hyperlink" Target="https://app.qawolf.com/arb-interactive/environments/macj24kwh5o66gwyrw4n39unogen/workflows/m1ggmlpmwkvyu3cxjc65jhnhowor" TargetMode="External"/><Relationship Id="rId50" Type="http://schemas.openxmlformats.org/officeDocument/2006/relationships/hyperlink" Target="https://app.qawolf.com/arb-interactive/environments/macj24kwh5o66gwyrw4n39unogen/workflows/x02hslu29qqeysogcjomoqrzowor" TargetMode="External"/><Relationship Id="rId55" Type="http://schemas.openxmlformats.org/officeDocument/2006/relationships/hyperlink" Target="https://app.qawolf.com/arb-interactive/environments/macj24kwh5o66gwyrw4n39unogen/workflows/nssbs7ju3f0ekc0m1qmnmajlowor" TargetMode="External"/><Relationship Id="rId76" Type="http://schemas.openxmlformats.org/officeDocument/2006/relationships/hyperlink" Target="https://app.qawolf.com/arb-interactive/environments/macj24kwh5o66gwyrw4n39unogen/workflows/jppxiekxb6kmum3cozw5o9r8owor" TargetMode="External"/><Relationship Id="rId97" Type="http://schemas.openxmlformats.org/officeDocument/2006/relationships/hyperlink" Target="https://app.qawolf.com/arb-interactive/environments/macj24kwh5o66gwyrw4n39unogen/workflows/xuswbr0w3crobzbjrr0mu4hlowor" TargetMode="External"/><Relationship Id="rId7" Type="http://schemas.openxmlformats.org/officeDocument/2006/relationships/hyperlink" Target="https://app.qawolf.com/arb-interactive/environments/ujhlkhftn4xyktpokfne1rckogen/flows/t7k53qzfs3pqpzkt7sp8eqewowor" TargetMode="External"/><Relationship Id="rId71" Type="http://schemas.openxmlformats.org/officeDocument/2006/relationships/hyperlink" Target="https://app.qawolf.com/arb-interactive/environments/macj24kwh5o66gwyrw4n39unogen/workflows/tb4a7hycuhs44ba8soe8hf8mowor" TargetMode="External"/><Relationship Id="rId92" Type="http://schemas.openxmlformats.org/officeDocument/2006/relationships/hyperlink" Target="https://app.qawolf.com/arb-interactive/environments/macj24kwh5o66gwyrw4n39unogen/workflows/n7tr7nusfw2w0je1lakhg90eowor" TargetMode="External"/><Relationship Id="rId2" Type="http://schemas.openxmlformats.org/officeDocument/2006/relationships/hyperlink" Target="https://app.qawolf.com/v3/arb-interactive/environments/ujhlkhftn4xyktpokfne1rckogen/flows/flh07j4hinajaermc9bw3br0owor" TargetMode="External"/><Relationship Id="rId29" Type="http://schemas.openxmlformats.org/officeDocument/2006/relationships/hyperlink" Target="https://app.qawolf.com/arb-interactive/environments/macj24kwh5o66gwyrw4n39unogen/workflows/b3lvd4xhta5fr5vttesvsehvowor" TargetMode="External"/><Relationship Id="rId24" Type="http://schemas.openxmlformats.org/officeDocument/2006/relationships/hyperlink" Target="https://app.qawolf.com/arb-interactive/environments/macj24kwh5o66gwyrw4n39unogen/workflows/onkgvx306mm087z3yhyygq6dowor" TargetMode="External"/><Relationship Id="rId40" Type="http://schemas.openxmlformats.org/officeDocument/2006/relationships/hyperlink" Target="https://app.qawolf.com/arb-interactive/environments/macj24kwh5o66gwyrw4n39unogen/workflows/mcrg2n53vlemmhhbxjak9q24owor" TargetMode="External"/><Relationship Id="rId45" Type="http://schemas.openxmlformats.org/officeDocument/2006/relationships/hyperlink" Target="https://app.qawolf.com/arb-interactive/environments/macj24kwh5o66gwyrw4n39unogen/workflows/wxstn3ws9im7wrk25fyalm94owor" TargetMode="External"/><Relationship Id="rId66" Type="http://schemas.openxmlformats.org/officeDocument/2006/relationships/hyperlink" Target="https://app.qawolf.com/arb-interactive/environments/macj24kwh5o66gwyrw4n39unogen/workflows/oh6s5vdj0czkgkmsx0ng9oidowor" TargetMode="External"/><Relationship Id="rId87" Type="http://schemas.openxmlformats.org/officeDocument/2006/relationships/hyperlink" Target="https://app.qawolf.com/arb-interactive/environments/macj24kwh5o66gwyrw4n39unogen/workflows/fllzeucffed19cl8eqiloysjowor" TargetMode="External"/><Relationship Id="rId61" Type="http://schemas.openxmlformats.org/officeDocument/2006/relationships/hyperlink" Target="https://app.qawolf.com/arb-interactive/environments/macj24kwh5o66gwyrw4n39unogen/workflows/h6u55gzavn1qslfki1r3t1l5owor" TargetMode="External"/><Relationship Id="rId82" Type="http://schemas.openxmlformats.org/officeDocument/2006/relationships/hyperlink" Target="https://app.qawolf.com/arb-interactive/environments/macj24kwh5o66gwyrw4n39unogen/workflows/v40fqf14e0590pixma2pzuruowor" TargetMode="External"/><Relationship Id="rId19" Type="http://schemas.openxmlformats.org/officeDocument/2006/relationships/hyperlink" Target="https://app.qawolf.com/arb-interactive/environments/macj24kwh5o66gwyrw4n39unogen/workflows/ze6iertwojrdef2868myqzn5owor" TargetMode="External"/><Relationship Id="rId14" Type="http://schemas.openxmlformats.org/officeDocument/2006/relationships/hyperlink" Target="https://app.qawolf.com/arb-interactive/environments/ujhlkhftn4xyktpokfne1rckogen/flows/fg4071zkkhqon24vxlclaa2yowor" TargetMode="External"/><Relationship Id="rId30" Type="http://schemas.openxmlformats.org/officeDocument/2006/relationships/hyperlink" Target="https://app.qawolf.com/arb-interactive/environments/macj24kwh5o66gwyrw4n39unogen/workflows/in8io8fkgj68l96pdry5q5gkowor" TargetMode="External"/><Relationship Id="rId35" Type="http://schemas.openxmlformats.org/officeDocument/2006/relationships/hyperlink" Target="https://app.qawolf.com/arb-interactive/environments/macj24kwh5o66gwyrw4n39unogen/workflows/mn9a7hgj38gjhw2wlhibbfygowor" TargetMode="External"/><Relationship Id="rId56" Type="http://schemas.openxmlformats.org/officeDocument/2006/relationships/hyperlink" Target="https://app.qawolf.com/arb-interactive/environments/macj24kwh5o66gwyrw4n39unogen/workflows/qw0ouieqjfnmskepfpd2gbjsowor" TargetMode="External"/><Relationship Id="rId77" Type="http://schemas.openxmlformats.org/officeDocument/2006/relationships/hyperlink" Target="https://app.qawolf.com/arb-interactive/environments/macj24kwh5o66gwyrw4n39unogen/workflows/r14jlljgeidj79xbjotx0h51owor" TargetMode="External"/><Relationship Id="rId100" Type="http://schemas.openxmlformats.org/officeDocument/2006/relationships/hyperlink" Target="https://app.qawolf.com/arb-interactive/environments/macj24kwh5o66gwyrw4n39unogen/workflows/xajefm7bya96iw19d4k74rsuowor" TargetMode="External"/><Relationship Id="rId8" Type="http://schemas.openxmlformats.org/officeDocument/2006/relationships/hyperlink" Target="https://app.qawolf.com/arb-interactive/environments/ujhlkhftn4xyktpokfne1rckogen/flows/h4suorihbal784t0ix4zjoixowor" TargetMode="External"/><Relationship Id="rId51" Type="http://schemas.openxmlformats.org/officeDocument/2006/relationships/hyperlink" Target="https://app.qawolf.com/arb-interactive/environments/macj24kwh5o66gwyrw4n39unogen/workflows/pgatsb26gaogm60poafhr9t5owor" TargetMode="External"/><Relationship Id="rId72" Type="http://schemas.openxmlformats.org/officeDocument/2006/relationships/hyperlink" Target="https://app.qawolf.com/arb-interactive/environments/macj24kwh5o66gwyrw4n39unogen/workflows/hqmlylwxhctnoyi0lzurr3voowor" TargetMode="External"/><Relationship Id="rId93" Type="http://schemas.openxmlformats.org/officeDocument/2006/relationships/hyperlink" Target="https://app.qawolf.com/arb-interactive/environments/macj24kwh5o66gwyrw4n39unogen/workflows/p13bdlamdhez6vg3exxtgwitowor" TargetMode="External"/><Relationship Id="rId98" Type="http://schemas.openxmlformats.org/officeDocument/2006/relationships/hyperlink" Target="https://app.qawolf.com/arb-interactive/environments/macj24kwh5o66gwyrw4n39unogen/workflows/o5g30grlgmuikee3bbymmxoxowor" TargetMode="External"/><Relationship Id="rId3" Type="http://schemas.openxmlformats.org/officeDocument/2006/relationships/hyperlink" Target="https://app.qawolf.com/v3/arb-interactive/environments/ujhlkhftn4xyktpokfne1rckogen/flows/r2l4sxbdz9gqy1sxhju2k9pyowo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hyperlink" Target="https://app.qawolf.com/arb-interactive/environments/macj24kwh5o66gwyrw4n39unogen/workflows/o5g30grlgmuikee3bbymmxoxowor" TargetMode="External"/><Relationship Id="rId13" Type="http://schemas.openxmlformats.org/officeDocument/2006/relationships/hyperlink" Target="https://linear.app/arbgamingllc/issue/GAME-731" TargetMode="External"/><Relationship Id="rId3" Type="http://schemas.openxmlformats.org/officeDocument/2006/relationships/hyperlink" Target="https://app.qawolf.com/arb-interactive/environments/macj24kwh5o66gwyrw4n39unogen/workflows/w5j88rr8q6qii4g2n6kaxsx6owor" TargetMode="External"/><Relationship Id="rId7" Type="http://schemas.openxmlformats.org/officeDocument/2006/relationships/hyperlink" Target="https://app.qawolf.com/arb-interactive/environments/macj24kwh5o66gwyrw4n39unogen/workflows/sxwx36rrwqwpidzdzp43dobwowor" TargetMode="External"/><Relationship Id="rId12" Type="http://schemas.openxmlformats.org/officeDocument/2006/relationships/hyperlink" Target="https://app.qawolf.com/arb-interactive/environments/macj24kwh5o66gwyrw4n39unogen/workflows/oh6s5vdj0czkgkmsx0ng9oidowor" TargetMode="External"/><Relationship Id="rId17" Type="http://schemas.openxmlformats.org/officeDocument/2006/relationships/hyperlink" Target="https://linear.app/arbgamingllc/issue/GAME-1171" TargetMode="External"/><Relationship Id="rId2" Type="http://schemas.openxmlformats.org/officeDocument/2006/relationships/hyperlink" Target="https://app.qawolf.com/arb-interactive/environments/macj24kwh5o66gwyrw4n39unogen/workflows/yu3l89nvax0kc8lnsdbvoif4owor" TargetMode="External"/><Relationship Id="rId16" Type="http://schemas.openxmlformats.org/officeDocument/2006/relationships/hyperlink" Target="https://linear.app/arbgamingllc/issue/GAME-1173" TargetMode="External"/><Relationship Id="rId1" Type="http://schemas.openxmlformats.org/officeDocument/2006/relationships/hyperlink" Target="https://app.qawolf.com/arb-interactive/environments/macj24kwh5o66gwyrw4n39unogen/workflows/h0zro1slyfjiia00w26n0865owor" TargetMode="External"/><Relationship Id="rId6" Type="http://schemas.openxmlformats.org/officeDocument/2006/relationships/hyperlink" Target="https://app.qawolf.com/arb-interactive/environments/macj24kwh5o66gwyrw4n39unogen/workflows/ff5l4q72dbdalkxlzi649nocowor" TargetMode="External"/><Relationship Id="rId11" Type="http://schemas.openxmlformats.org/officeDocument/2006/relationships/hyperlink" Target="https://app.qawolf.com/arb-interactive/environments/macj24kwh5o66gwyrw4n39unogen/workflows/mcrg2n53vlemmhhbxjak9q24owor" TargetMode="External"/><Relationship Id="rId5" Type="http://schemas.openxmlformats.org/officeDocument/2006/relationships/hyperlink" Target="https://app.qawolf.com/arb-interactive/environments/macj24kwh5o66gwyrw4n39unogen/workflows/yp6o7z1l5me56dc6fnpgjoe2owor" TargetMode="External"/><Relationship Id="rId15" Type="http://schemas.openxmlformats.org/officeDocument/2006/relationships/hyperlink" Target="https://support.modo.us/en_us/categories/frequently-asked-questions-Hkfe59O4ye" TargetMode="External"/><Relationship Id="rId10" Type="http://schemas.openxmlformats.org/officeDocument/2006/relationships/hyperlink" Target="https://app.qawolf.com/arb-interactive/environments/macj24kwh5o66gwyrw4n39unogen/workflows/u5iwdcxzih30rm84i5iolirmowor" TargetMode="External"/><Relationship Id="rId4" Type="http://schemas.openxmlformats.org/officeDocument/2006/relationships/hyperlink" Target="https://app.qawolf.com/arb-interactive/environments/macj24kwh5o66gwyrw4n39unogen/workflows/xuswbr0w3crobzbjrr0mu4hlowor" TargetMode="External"/><Relationship Id="rId9" Type="http://schemas.openxmlformats.org/officeDocument/2006/relationships/hyperlink" Target="https://app.qawolf.com/arb-interactive/environments/macj24kwh5o66gwyrw4n39unogen/workflows/nvhjaxl9whm0fib1toyuzi0yowor" TargetMode="External"/><Relationship Id="rId14" Type="http://schemas.openxmlformats.org/officeDocument/2006/relationships/hyperlink" Target="https://linear.app/arbgamingllc/issue/GAME-730"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modous-public-bucket.s3.us-east-1.amazonaws.com/icons/Modo-Logo-vegas3.png" TargetMode="External"/><Relationship Id="rId1" Type="http://schemas.openxmlformats.org/officeDocument/2006/relationships/hyperlink" Target="https://linear.app/arbgamingllc/issue/GAME-1338"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checkout.com/docs/developer-resources/testing/avs-check-testing" TargetMode="External"/><Relationship Id="rId2" Type="http://schemas.openxmlformats.org/officeDocument/2006/relationships/hyperlink" Target="https://www.checkout.com/docs/developer-resources/testing/simulate-card-verification-outcomes" TargetMode="External"/><Relationship Id="rId1" Type="http://schemas.openxmlformats.org/officeDocument/2006/relationships/hyperlink" Target="https://www.checkout.com/docs/developer-resources/testing/test-cards" TargetMode="External"/><Relationship Id="rId5" Type="http://schemas.openxmlformats.org/officeDocument/2006/relationships/table" Target="../tables/table6.xml"/><Relationship Id="rId4" Type="http://schemas.openxmlformats.org/officeDocument/2006/relationships/hyperlink" Target="https://docs.fiserv.com/docs/payments/ZG9jOjgwMjA1NjY-test-card-numb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outlinePr summaryBelow="0" summaryRight="0"/>
  </sheetPr>
  <dimension ref="A38:Z98"/>
  <sheetViews>
    <sheetView workbookViewId="0"/>
  </sheetViews>
  <sheetFormatPr defaultColWidth="12.59765625" defaultRowHeight="15" customHeight="1"/>
  <sheetData>
    <row r="38" spans="1:26" ht="12.75">
      <c r="A38" s="1" t="s">
        <v>0</v>
      </c>
    </row>
    <row r="39" spans="1:26" ht="15" customHeight="1">
      <c r="A39" s="2" t="s">
        <v>1</v>
      </c>
      <c r="B39" s="2"/>
      <c r="C39" s="2" t="s">
        <v>2</v>
      </c>
      <c r="D39" s="2"/>
      <c r="E39" s="2" t="s">
        <v>2</v>
      </c>
      <c r="F39" s="2"/>
      <c r="G39" s="2" t="s">
        <v>2</v>
      </c>
      <c r="H39" s="3"/>
      <c r="I39" s="2" t="s">
        <v>2</v>
      </c>
      <c r="J39" s="2"/>
      <c r="K39" s="2" t="s">
        <v>2</v>
      </c>
      <c r="L39" s="2"/>
      <c r="M39" s="2" t="s">
        <v>2</v>
      </c>
      <c r="N39" s="2"/>
      <c r="O39" s="2"/>
      <c r="P39" s="2"/>
      <c r="Q39" s="2"/>
      <c r="R39" s="2"/>
      <c r="S39" s="2"/>
      <c r="T39" s="2"/>
      <c r="U39" s="2"/>
      <c r="V39" s="2"/>
      <c r="W39" s="2"/>
      <c r="X39" s="2"/>
      <c r="Y39" s="2"/>
      <c r="Z39" s="2"/>
    </row>
    <row r="40" spans="1:26" ht="12.75">
      <c r="A40" s="1" t="s">
        <v>3</v>
      </c>
    </row>
    <row r="41" spans="1:26" ht="15" customHeight="1">
      <c r="B41" s="4"/>
      <c r="C41" s="5" t="s">
        <v>4</v>
      </c>
      <c r="D41" s="5" t="s">
        <v>5</v>
      </c>
      <c r="E41" s="5" t="s">
        <v>6</v>
      </c>
      <c r="G41" s="1" t="s">
        <v>7</v>
      </c>
      <c r="H41" s="1" t="e">
        <f>#REF!</f>
        <v>#REF!</v>
      </c>
      <c r="I41" s="1" t="s">
        <v>8</v>
      </c>
      <c r="J41" s="1">
        <f>COUNTA(B41:F41)</f>
        <v>3</v>
      </c>
      <c r="K41" s="1" t="s">
        <v>9</v>
      </c>
      <c r="L41" s="1" t="e">
        <f>H41*J41</f>
        <v>#REF!</v>
      </c>
    </row>
    <row r="42" spans="1:26" ht="15" customHeight="1">
      <c r="B42" s="5" t="s">
        <v>10</v>
      </c>
      <c r="C42" s="6" t="e">
        <f t="shared" ref="C42:E42" si="0">#REF!</f>
        <v>#REF!</v>
      </c>
      <c r="D42" s="6" t="e">
        <f t="shared" si="0"/>
        <v>#REF!</v>
      </c>
      <c r="E42" s="6" t="e">
        <f t="shared" si="0"/>
        <v>#REF!</v>
      </c>
    </row>
    <row r="43" spans="1:26" ht="15" customHeight="1">
      <c r="B43" s="7" t="s">
        <v>11</v>
      </c>
      <c r="C43" s="6" t="e">
        <f t="shared" ref="C43:E43" si="1">#REF!</f>
        <v>#REF!</v>
      </c>
      <c r="D43" s="6" t="e">
        <f t="shared" si="1"/>
        <v>#REF!</v>
      </c>
      <c r="E43" s="6" t="e">
        <f t="shared" si="1"/>
        <v>#REF!</v>
      </c>
    </row>
    <row r="44" spans="1:26" ht="15" customHeight="1">
      <c r="B44" s="5" t="s">
        <v>12</v>
      </c>
      <c r="C44" s="6" t="e">
        <f t="shared" ref="C44:E44" si="2">#REF!</f>
        <v>#REF!</v>
      </c>
      <c r="D44" s="6" t="e">
        <f t="shared" si="2"/>
        <v>#REF!</v>
      </c>
      <c r="E44" s="6" t="e">
        <f t="shared" si="2"/>
        <v>#REF!</v>
      </c>
    </row>
    <row r="45" spans="1:26" ht="15" customHeight="1">
      <c r="B45" s="5" t="s">
        <v>13</v>
      </c>
      <c r="C45" s="6" t="e">
        <f t="shared" ref="C45:E45" si="3">#REF!</f>
        <v>#REF!</v>
      </c>
      <c r="D45" s="6" t="e">
        <f t="shared" si="3"/>
        <v>#REF!</v>
      </c>
      <c r="E45" s="6" t="e">
        <f t="shared" si="3"/>
        <v>#REF!</v>
      </c>
    </row>
    <row r="46" spans="1:26" ht="15" customHeight="1">
      <c r="B46" s="5" t="s">
        <v>14</v>
      </c>
      <c r="C46" s="6" t="e">
        <f t="shared" ref="C46:E46" si="4">#REF!</f>
        <v>#REF!</v>
      </c>
      <c r="D46" s="6" t="e">
        <f t="shared" si="4"/>
        <v>#REF!</v>
      </c>
      <c r="E46" s="6" t="e">
        <f t="shared" si="4"/>
        <v>#REF!</v>
      </c>
    </row>
    <row r="47" spans="1:26" ht="15" customHeight="1">
      <c r="B47" s="7" t="s">
        <v>15</v>
      </c>
      <c r="C47" s="6" t="e">
        <f t="shared" ref="C47:E47" si="5">#REF!</f>
        <v>#REF!</v>
      </c>
      <c r="D47" s="6" t="e">
        <f t="shared" si="5"/>
        <v>#REF!</v>
      </c>
      <c r="E47" s="6" t="e">
        <f t="shared" si="5"/>
        <v>#REF!</v>
      </c>
    </row>
    <row r="49" spans="1:12" ht="12.75">
      <c r="A49" s="1" t="s">
        <v>16</v>
      </c>
    </row>
    <row r="50" spans="1:12" ht="15" customHeight="1">
      <c r="B50" s="4"/>
      <c r="C50" s="5" t="s">
        <v>4</v>
      </c>
      <c r="D50" s="5" t="s">
        <v>5</v>
      </c>
      <c r="E50" s="5" t="s">
        <v>6</v>
      </c>
      <c r="G50" s="1" t="s">
        <v>7</v>
      </c>
      <c r="H50" s="1">
        <f>Games!C7</f>
        <v>43</v>
      </c>
      <c r="I50" s="1" t="s">
        <v>8</v>
      </c>
      <c r="J50" s="1">
        <f>COUNTA(B50:F50)</f>
        <v>3</v>
      </c>
      <c r="K50" s="1" t="s">
        <v>9</v>
      </c>
      <c r="L50" s="1">
        <f>H50*J50</f>
        <v>129</v>
      </c>
    </row>
    <row r="51" spans="1:12" ht="15" customHeight="1">
      <c r="B51" s="5" t="s">
        <v>10</v>
      </c>
      <c r="C51" s="6">
        <f>Games!F2</f>
        <v>0.41860465116279072</v>
      </c>
      <c r="D51" s="6">
        <f>Games!L2</f>
        <v>0</v>
      </c>
      <c r="E51" s="6">
        <f>Games!H2</f>
        <v>0.46511627906976744</v>
      </c>
    </row>
    <row r="52" spans="1:12" ht="15" customHeight="1">
      <c r="B52" s="7" t="s">
        <v>11</v>
      </c>
      <c r="C52" s="6">
        <f>Games!F3</f>
        <v>0.11627906976744186</v>
      </c>
      <c r="D52" s="6">
        <f>Games!L3</f>
        <v>6.9767441860465115E-2</v>
      </c>
      <c r="E52" s="6">
        <f>Games!H3</f>
        <v>6.9767441860465115E-2</v>
      </c>
    </row>
    <row r="53" spans="1:12" ht="15" customHeight="1">
      <c r="B53" s="5" t="s">
        <v>12</v>
      </c>
      <c r="C53" s="6">
        <f>Games!F4</f>
        <v>0.16279069767441862</v>
      </c>
      <c r="D53" s="6">
        <f>Games!L4</f>
        <v>0.16279069767441862</v>
      </c>
      <c r="E53" s="6">
        <f>Games!H4</f>
        <v>0.16279069767441862</v>
      </c>
    </row>
    <row r="54" spans="1:12" ht="15" customHeight="1">
      <c r="B54" s="5" t="s">
        <v>13</v>
      </c>
      <c r="C54" s="6">
        <f>Games!F5</f>
        <v>0</v>
      </c>
      <c r="D54" s="6">
        <f>Games!L5</f>
        <v>0</v>
      </c>
      <c r="E54" s="6">
        <f>Games!H5</f>
        <v>0</v>
      </c>
    </row>
    <row r="55" spans="1:12" ht="15" customHeight="1">
      <c r="B55" s="5" t="s">
        <v>14</v>
      </c>
      <c r="C55" s="6">
        <f>Games!F6</f>
        <v>2.3255813953488372E-2</v>
      </c>
      <c r="D55" s="6">
        <f>Games!L6</f>
        <v>2.3255813953488372E-2</v>
      </c>
      <c r="E55" s="6">
        <f>Games!H6</f>
        <v>4.6511627906976744E-2</v>
      </c>
    </row>
    <row r="56" spans="1:12" ht="15" customHeight="1">
      <c r="B56" s="7" t="s">
        <v>15</v>
      </c>
      <c r="C56" s="6">
        <f>Games!F7</f>
        <v>0.97674418604651159</v>
      </c>
      <c r="D56" s="6">
        <f>Games!L7</f>
        <v>0.97674418604651159</v>
      </c>
      <c r="E56" s="6">
        <f>Games!H7</f>
        <v>0.95348837209302328</v>
      </c>
    </row>
    <row r="58" spans="1:12" ht="12.75">
      <c r="A58" s="1" t="s">
        <v>17</v>
      </c>
    </row>
    <row r="59" spans="1:12" ht="15" customHeight="1">
      <c r="B59" s="4"/>
      <c r="C59" s="5" t="s">
        <v>4</v>
      </c>
      <c r="D59" s="8"/>
      <c r="E59" s="8"/>
      <c r="G59" s="1" t="s">
        <v>7</v>
      </c>
      <c r="H59" s="1" t="e">
        <f>#REF!</f>
        <v>#REF!</v>
      </c>
      <c r="I59" s="1" t="s">
        <v>8</v>
      </c>
      <c r="J59" s="1">
        <f>COUNTA(B59:F59)</f>
        <v>1</v>
      </c>
      <c r="K59" s="1" t="s">
        <v>9</v>
      </c>
      <c r="L59" s="1" t="e">
        <f>H59*J59</f>
        <v>#REF!</v>
      </c>
    </row>
    <row r="60" spans="1:12" ht="15" customHeight="1">
      <c r="B60" s="5" t="s">
        <v>10</v>
      </c>
      <c r="C60" s="6" t="e">
        <f t="shared" ref="C60:C65" si="6">#REF!</f>
        <v>#REF!</v>
      </c>
      <c r="D60" s="9"/>
      <c r="E60" s="9"/>
    </row>
    <row r="61" spans="1:12" ht="15" customHeight="1">
      <c r="B61" s="7" t="s">
        <v>11</v>
      </c>
      <c r="C61" s="6" t="e">
        <f t="shared" si="6"/>
        <v>#REF!</v>
      </c>
      <c r="D61" s="9"/>
      <c r="E61" s="9"/>
    </row>
    <row r="62" spans="1:12" ht="15" customHeight="1">
      <c r="B62" s="5" t="s">
        <v>12</v>
      </c>
      <c r="C62" s="6" t="e">
        <f t="shared" si="6"/>
        <v>#REF!</v>
      </c>
      <c r="D62" s="9"/>
      <c r="E62" s="9"/>
    </row>
    <row r="63" spans="1:12" ht="15" customHeight="1">
      <c r="B63" s="5" t="s">
        <v>13</v>
      </c>
      <c r="C63" s="6" t="e">
        <f t="shared" si="6"/>
        <v>#REF!</v>
      </c>
      <c r="D63" s="9"/>
      <c r="E63" s="9"/>
    </row>
    <row r="64" spans="1:12" ht="15" customHeight="1">
      <c r="B64" s="5" t="s">
        <v>14</v>
      </c>
      <c r="C64" s="6" t="e">
        <f t="shared" si="6"/>
        <v>#REF!</v>
      </c>
      <c r="D64" s="9"/>
      <c r="E64" s="9"/>
    </row>
    <row r="65" spans="1:12" ht="15" customHeight="1">
      <c r="B65" s="7" t="s">
        <v>15</v>
      </c>
      <c r="C65" s="6" t="e">
        <f t="shared" si="6"/>
        <v>#REF!</v>
      </c>
      <c r="D65" s="9"/>
      <c r="E65" s="9"/>
    </row>
    <row r="67" spans="1:12" ht="12.75">
      <c r="A67" s="1" t="s">
        <v>18</v>
      </c>
    </row>
    <row r="68" spans="1:12" ht="15" customHeight="1">
      <c r="B68" s="4"/>
      <c r="C68" s="5" t="s">
        <v>19</v>
      </c>
      <c r="D68" s="10" t="s">
        <v>20</v>
      </c>
      <c r="E68" s="11"/>
      <c r="G68" s="1" t="s">
        <v>7</v>
      </c>
      <c r="H68" s="1" t="e">
        <f>#REF!</f>
        <v>#REF!</v>
      </c>
      <c r="I68" s="1" t="s">
        <v>8</v>
      </c>
      <c r="J68" s="1">
        <f>COUNTA(B68:F68)</f>
        <v>2</v>
      </c>
      <c r="K68" s="1" t="s">
        <v>9</v>
      </c>
      <c r="L68" s="1" t="e">
        <f>H68*J68</f>
        <v>#REF!</v>
      </c>
    </row>
    <row r="69" spans="1:12" ht="15" customHeight="1">
      <c r="B69" s="5" t="s">
        <v>10</v>
      </c>
      <c r="C69" s="6" t="e">
        <f>#REF!</f>
        <v>#REF!</v>
      </c>
      <c r="D69" s="12" t="e">
        <f>#REF!</f>
        <v>#REF!</v>
      </c>
      <c r="E69" s="13"/>
    </row>
    <row r="70" spans="1:12" ht="15" customHeight="1">
      <c r="B70" s="7" t="s">
        <v>11</v>
      </c>
      <c r="C70" s="6" t="e">
        <f>#REF!</f>
        <v>#REF!</v>
      </c>
      <c r="D70" s="12" t="e">
        <f>#REF!</f>
        <v>#REF!</v>
      </c>
      <c r="E70" s="13"/>
    </row>
    <row r="71" spans="1:12" ht="15" customHeight="1">
      <c r="B71" s="5" t="s">
        <v>12</v>
      </c>
      <c r="C71" s="6" t="e">
        <f>#REF!</f>
        <v>#REF!</v>
      </c>
      <c r="D71" s="12" t="e">
        <f>#REF!</f>
        <v>#REF!</v>
      </c>
      <c r="E71" s="13"/>
    </row>
    <row r="72" spans="1:12" ht="15" customHeight="1">
      <c r="B72" s="5" t="s">
        <v>13</v>
      </c>
      <c r="C72" s="6" t="e">
        <f>#REF!</f>
        <v>#REF!</v>
      </c>
      <c r="D72" s="12" t="e">
        <f>#REF!</f>
        <v>#REF!</v>
      </c>
      <c r="E72" s="13"/>
    </row>
    <row r="73" spans="1:12" ht="15" customHeight="1">
      <c r="B73" s="5" t="s">
        <v>14</v>
      </c>
      <c r="C73" s="6" t="e">
        <f>#REF!</f>
        <v>#REF!</v>
      </c>
      <c r="D73" s="12" t="e">
        <f>#REF!</f>
        <v>#REF!</v>
      </c>
      <c r="E73" s="13"/>
    </row>
    <row r="74" spans="1:12" ht="15" customHeight="1">
      <c r="B74" s="7" t="s">
        <v>15</v>
      </c>
      <c r="C74" s="6" t="e">
        <f>#REF!</f>
        <v>#REF!</v>
      </c>
      <c r="D74" s="12" t="e">
        <f>#REF!</f>
        <v>#REF!</v>
      </c>
      <c r="E74" s="13"/>
    </row>
    <row r="76" spans="1:12" ht="12.75">
      <c r="A76" s="1" t="s">
        <v>21</v>
      </c>
    </row>
    <row r="77" spans="1:12" ht="15" customHeight="1">
      <c r="B77" s="4"/>
      <c r="C77" s="5" t="s">
        <v>19</v>
      </c>
      <c r="D77" s="5" t="s">
        <v>20</v>
      </c>
      <c r="E77" s="5" t="s">
        <v>22</v>
      </c>
      <c r="F77" s="5" t="s">
        <v>23</v>
      </c>
      <c r="G77" s="1" t="s">
        <v>7</v>
      </c>
      <c r="H77" s="1" t="e">
        <v>#REF!</v>
      </c>
      <c r="I77" s="1" t="s">
        <v>8</v>
      </c>
      <c r="J77" s="1">
        <f>COUNTA(B77:F77)</f>
        <v>4</v>
      </c>
      <c r="K77" s="1" t="s">
        <v>9</v>
      </c>
      <c r="L77" s="1" t="e">
        <f>H77*J77</f>
        <v>#REF!</v>
      </c>
    </row>
    <row r="78" spans="1:12" ht="15" customHeight="1">
      <c r="B78" s="5" t="s">
        <v>10</v>
      </c>
      <c r="C78" s="6" t="s">
        <v>801</v>
      </c>
      <c r="D78" s="6" t="s">
        <v>801</v>
      </c>
      <c r="E78" s="6" t="s">
        <v>801</v>
      </c>
      <c r="F78" s="6" t="s">
        <v>801</v>
      </c>
    </row>
    <row r="79" spans="1:12" ht="15" customHeight="1">
      <c r="B79" s="7" t="s">
        <v>11</v>
      </c>
      <c r="C79" s="6" t="s">
        <v>801</v>
      </c>
      <c r="D79" s="6" t="s">
        <v>801</v>
      </c>
      <c r="E79" s="6" t="s">
        <v>801</v>
      </c>
      <c r="F79" s="6" t="s">
        <v>801</v>
      </c>
    </row>
    <row r="80" spans="1:12" ht="15" customHeight="1">
      <c r="B80" s="5" t="s">
        <v>12</v>
      </c>
      <c r="C80" s="6" t="s">
        <v>801</v>
      </c>
      <c r="D80" s="6" t="s">
        <v>801</v>
      </c>
      <c r="E80" s="6" t="s">
        <v>801</v>
      </c>
      <c r="F80" s="6" t="s">
        <v>801</v>
      </c>
    </row>
    <row r="81" spans="1:11" ht="15" customHeight="1">
      <c r="B81" s="5" t="s">
        <v>13</v>
      </c>
      <c r="C81" s="6" t="s">
        <v>801</v>
      </c>
      <c r="D81" s="6" t="s">
        <v>801</v>
      </c>
      <c r="E81" s="6" t="s">
        <v>801</v>
      </c>
      <c r="F81" s="6" t="s">
        <v>801</v>
      </c>
    </row>
    <row r="82" spans="1:11" ht="15" customHeight="1">
      <c r="B82" s="5" t="s">
        <v>14</v>
      </c>
      <c r="C82" s="6" t="s">
        <v>801</v>
      </c>
      <c r="D82" s="6" t="s">
        <v>801</v>
      </c>
      <c r="E82" s="6" t="s">
        <v>801</v>
      </c>
      <c r="F82" s="6" t="s">
        <v>801</v>
      </c>
    </row>
    <row r="83" spans="1:11" ht="15" customHeight="1">
      <c r="B83" s="7" t="s">
        <v>15</v>
      </c>
      <c r="C83" s="6" t="s">
        <v>801</v>
      </c>
      <c r="D83" s="6" t="s">
        <v>801</v>
      </c>
      <c r="E83" s="6" t="s">
        <v>801</v>
      </c>
      <c r="F83" s="6" t="s">
        <v>801</v>
      </c>
    </row>
    <row r="85" spans="1:11" ht="12.75">
      <c r="A85" s="1" t="s">
        <v>24</v>
      </c>
    </row>
    <row r="86" spans="1:11" ht="12.75">
      <c r="B86" s="1" t="s">
        <v>25</v>
      </c>
    </row>
    <row r="87" spans="1:11" ht="12.75">
      <c r="B87" s="1" t="s">
        <v>26</v>
      </c>
    </row>
    <row r="89" spans="1:11" ht="12.75">
      <c r="A89" s="1" t="s">
        <v>27</v>
      </c>
    </row>
    <row r="90" spans="1:11" ht="12.75">
      <c r="B90" s="1" t="s">
        <v>28</v>
      </c>
      <c r="C90" s="1" t="e">
        <f>L77+L68+L59+L50+L41</f>
        <v>#REF!</v>
      </c>
      <c r="J90" s="1" t="s">
        <v>29</v>
      </c>
      <c r="K90" s="1" t="e">
        <f>C90-H95</f>
        <v>#REF!</v>
      </c>
    </row>
    <row r="91" spans="1:11" ht="12.75">
      <c r="C91" s="1" t="s">
        <v>30</v>
      </c>
      <c r="D91" s="1" t="s">
        <v>16</v>
      </c>
      <c r="E91" s="1" t="s">
        <v>31</v>
      </c>
      <c r="F91" s="1" t="s">
        <v>18</v>
      </c>
      <c r="G91" s="1" t="s">
        <v>21</v>
      </c>
      <c r="H91" s="1" t="s">
        <v>32</v>
      </c>
    </row>
    <row r="92" spans="1:11" ht="12.75">
      <c r="B92" s="1" t="s">
        <v>10</v>
      </c>
      <c r="C92" s="1" t="e">
        <f t="shared" ref="C92:C95" si="7">COUNTIF(#REF!,$B92)</f>
        <v>#REF!</v>
      </c>
      <c r="D92" s="1">
        <f>COUNTIF(Games!F:H,$B92)</f>
        <v>109</v>
      </c>
      <c r="E92" s="1" t="e">
        <f>COUNTIF(#REF!,$B92)</f>
        <v>#REF!</v>
      </c>
      <c r="F92" s="1" t="e">
        <f t="shared" ref="F92:F95" si="8">COUNTIF(#REF!,$B92)</f>
        <v>#REF!</v>
      </c>
      <c r="G92" s="1" t="s">
        <v>801</v>
      </c>
      <c r="H92" s="1" t="e">
        <f t="shared" ref="H92:H95" si="9">SUM(C92:G92)</f>
        <v>#REF!</v>
      </c>
      <c r="J92" s="1" t="s">
        <v>10</v>
      </c>
      <c r="K92" s="1" t="e">
        <f t="shared" ref="K92:K94" si="10">H92</f>
        <v>#REF!</v>
      </c>
    </row>
    <row r="93" spans="1:11" ht="12.75">
      <c r="B93" s="1" t="s">
        <v>11</v>
      </c>
      <c r="C93" s="1" t="e">
        <f t="shared" si="7"/>
        <v>#REF!</v>
      </c>
      <c r="D93" s="1">
        <f>COUNTIF(Games!F:H,$B93)</f>
        <v>0</v>
      </c>
      <c r="E93" s="1" t="e">
        <f>COUNTIF(#REF!,$B93)</f>
        <v>#REF!</v>
      </c>
      <c r="F93" s="1" t="e">
        <f t="shared" si="8"/>
        <v>#REF!</v>
      </c>
      <c r="G93" s="1" t="s">
        <v>801</v>
      </c>
      <c r="H93" s="1" t="e">
        <f t="shared" si="9"/>
        <v>#REF!</v>
      </c>
      <c r="J93" s="1" t="s">
        <v>11</v>
      </c>
      <c r="K93" s="1" t="e">
        <f t="shared" si="10"/>
        <v>#REF!</v>
      </c>
    </row>
    <row r="94" spans="1:11" ht="12.75">
      <c r="B94" s="1" t="s">
        <v>12</v>
      </c>
      <c r="C94" s="1" t="e">
        <f t="shared" si="7"/>
        <v>#REF!</v>
      </c>
      <c r="D94" s="1">
        <f>COUNTIF(Games!F:H,$B94)</f>
        <v>21</v>
      </c>
      <c r="E94" s="1" t="e">
        <f>COUNTIF(#REF!,$B94)</f>
        <v>#REF!</v>
      </c>
      <c r="F94" s="1" t="e">
        <f t="shared" si="8"/>
        <v>#REF!</v>
      </c>
      <c r="G94" s="1" t="s">
        <v>801</v>
      </c>
      <c r="H94" s="1" t="e">
        <f t="shared" si="9"/>
        <v>#REF!</v>
      </c>
      <c r="J94" s="1" t="s">
        <v>12</v>
      </c>
      <c r="K94" s="1" t="e">
        <f t="shared" si="10"/>
        <v>#REF!</v>
      </c>
    </row>
    <row r="95" spans="1:11" ht="12.75">
      <c r="B95" s="1" t="s">
        <v>13</v>
      </c>
      <c r="C95" s="1" t="e">
        <f t="shared" si="7"/>
        <v>#REF!</v>
      </c>
      <c r="D95" s="1">
        <f>COUNTIF(Games!F:H,$B95)</f>
        <v>0</v>
      </c>
      <c r="E95" s="1" t="e">
        <f>COUNTIF(#REF!,$B95)</f>
        <v>#REF!</v>
      </c>
      <c r="F95" s="1" t="e">
        <f t="shared" si="8"/>
        <v>#REF!</v>
      </c>
      <c r="G95" s="1" t="s">
        <v>801</v>
      </c>
      <c r="H95" s="1" t="e">
        <f t="shared" si="9"/>
        <v>#REF!</v>
      </c>
      <c r="J95" s="1" t="s">
        <v>14</v>
      </c>
      <c r="K95" s="1" t="e">
        <f>K90-(K92+K93+K94)</f>
        <v>#REF!</v>
      </c>
    </row>
    <row r="96" spans="1:11" ht="12.75">
      <c r="B96" s="1"/>
    </row>
    <row r="97" spans="1:2" ht="12.75">
      <c r="B97" s="1"/>
    </row>
    <row r="98" spans="1:2" ht="12.75">
      <c r="A98" s="1" t="s">
        <v>33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outlinePr summaryBelow="0" summaryRight="0"/>
  </sheetPr>
  <dimension ref="A1:L24"/>
  <sheetViews>
    <sheetView workbookViewId="0">
      <pane ySplit="1" topLeftCell="A2" activePane="bottomLeft" state="frozen"/>
      <selection pane="bottomLeft" activeCell="B3" sqref="B3"/>
    </sheetView>
  </sheetViews>
  <sheetFormatPr defaultColWidth="12.59765625" defaultRowHeight="15" customHeight="1"/>
  <cols>
    <col min="1" max="1" width="31.3984375" customWidth="1"/>
    <col min="2" max="2" width="10.86328125" customWidth="1"/>
    <col min="3" max="3" width="18" customWidth="1"/>
    <col min="4" max="4" width="11.265625" customWidth="1"/>
    <col min="5" max="5" width="17.46484375" customWidth="1"/>
    <col min="6" max="6" width="10.86328125" customWidth="1"/>
    <col min="7" max="7" width="19.265625" customWidth="1"/>
    <col min="8" max="8" width="11" customWidth="1"/>
    <col min="9" max="9" width="31" customWidth="1"/>
    <col min="10" max="10" width="10.86328125" customWidth="1"/>
    <col min="11" max="11" width="55.1328125" customWidth="1"/>
    <col min="12" max="12" width="11" customWidth="1"/>
  </cols>
  <sheetData>
    <row r="1" spans="1:12" ht="22.5" customHeight="1">
      <c r="A1" s="14" t="s">
        <v>34</v>
      </c>
      <c r="B1" s="15" t="s">
        <v>35</v>
      </c>
      <c r="C1" s="16" t="s">
        <v>36</v>
      </c>
      <c r="D1" s="16" t="s">
        <v>37</v>
      </c>
      <c r="E1" s="16" t="s">
        <v>31</v>
      </c>
      <c r="F1" s="16" t="s">
        <v>38</v>
      </c>
      <c r="G1" s="16" t="s">
        <v>39</v>
      </c>
      <c r="H1" s="16" t="s">
        <v>40</v>
      </c>
      <c r="I1" s="16" t="s">
        <v>18</v>
      </c>
      <c r="J1" s="16" t="s">
        <v>41</v>
      </c>
      <c r="K1" s="16" t="s">
        <v>21</v>
      </c>
      <c r="L1" s="16" t="s">
        <v>42</v>
      </c>
    </row>
    <row r="2" spans="1:12" ht="22.5" customHeight="1">
      <c r="A2" s="17" t="s">
        <v>43</v>
      </c>
      <c r="B2" s="18"/>
      <c r="C2" s="19" t="s">
        <v>44</v>
      </c>
      <c r="D2" s="20"/>
      <c r="E2" s="19" t="s">
        <v>45</v>
      </c>
      <c r="F2" s="20"/>
      <c r="G2" s="21" t="s">
        <v>46</v>
      </c>
      <c r="H2" s="20"/>
      <c r="I2" s="19" t="s">
        <v>47</v>
      </c>
      <c r="J2" s="20"/>
      <c r="K2" s="22" t="s">
        <v>48</v>
      </c>
      <c r="L2" s="20"/>
    </row>
    <row r="3" spans="1:12" ht="22.5" customHeight="1">
      <c r="A3" s="17" t="s">
        <v>49</v>
      </c>
      <c r="B3" s="18"/>
      <c r="C3" s="19" t="s">
        <v>50</v>
      </c>
      <c r="D3" s="20"/>
      <c r="E3" s="19" t="s">
        <v>51</v>
      </c>
      <c r="F3" s="20"/>
      <c r="G3" s="21" t="s">
        <v>52</v>
      </c>
      <c r="H3" s="20"/>
      <c r="I3" s="19" t="s">
        <v>53</v>
      </c>
      <c r="J3" s="20"/>
      <c r="K3" s="22" t="s">
        <v>54</v>
      </c>
      <c r="L3" s="20"/>
    </row>
    <row r="4" spans="1:12" ht="22.5" customHeight="1">
      <c r="A4" s="17" t="s">
        <v>55</v>
      </c>
      <c r="B4" s="18"/>
      <c r="C4" s="19" t="s">
        <v>56</v>
      </c>
      <c r="D4" s="20"/>
      <c r="E4" s="19" t="s">
        <v>57</v>
      </c>
      <c r="F4" s="20"/>
      <c r="G4" s="21" t="s">
        <v>58</v>
      </c>
      <c r="H4" s="20"/>
      <c r="I4" s="19" t="s">
        <v>59</v>
      </c>
      <c r="J4" s="20"/>
      <c r="K4" s="22" t="s">
        <v>60</v>
      </c>
      <c r="L4" s="20"/>
    </row>
    <row r="5" spans="1:12" ht="22.5" customHeight="1">
      <c r="A5" s="17" t="s">
        <v>61</v>
      </c>
      <c r="B5" s="18"/>
      <c r="C5" s="19" t="s">
        <v>62</v>
      </c>
      <c r="D5" s="20"/>
      <c r="E5" s="19" t="s">
        <v>44</v>
      </c>
      <c r="F5" s="20"/>
      <c r="G5" s="23"/>
      <c r="H5" s="24"/>
      <c r="I5" s="19" t="s">
        <v>63</v>
      </c>
      <c r="J5" s="20"/>
      <c r="K5" s="22" t="s">
        <v>64</v>
      </c>
      <c r="L5" s="20"/>
    </row>
    <row r="6" spans="1:12" ht="22.5" customHeight="1">
      <c r="A6" s="17" t="s">
        <v>65</v>
      </c>
      <c r="B6" s="18"/>
      <c r="C6" s="24"/>
      <c r="D6" s="20"/>
      <c r="E6" s="19" t="s">
        <v>66</v>
      </c>
      <c r="F6" s="25" t="s">
        <v>13</v>
      </c>
      <c r="G6" s="23"/>
      <c r="H6" s="24"/>
      <c r="I6" s="19" t="s">
        <v>67</v>
      </c>
      <c r="J6" s="20"/>
      <c r="K6" s="17" t="s">
        <v>68</v>
      </c>
      <c r="L6" s="20"/>
    </row>
    <row r="7" spans="1:12" ht="22.5" customHeight="1">
      <c r="A7" s="17" t="s">
        <v>69</v>
      </c>
      <c r="B7" s="18"/>
      <c r="C7" s="24"/>
      <c r="D7" s="26"/>
      <c r="E7" s="19" t="s">
        <v>70</v>
      </c>
      <c r="F7" s="20"/>
      <c r="G7" s="23"/>
      <c r="H7" s="24"/>
      <c r="I7" s="19" t="s">
        <v>71</v>
      </c>
      <c r="J7" s="20"/>
      <c r="K7" s="17" t="s">
        <v>72</v>
      </c>
      <c r="L7" s="20"/>
    </row>
    <row r="8" spans="1:12" ht="22.5" customHeight="1">
      <c r="A8" s="27" t="s">
        <v>73</v>
      </c>
      <c r="B8" s="18"/>
      <c r="C8" s="24"/>
      <c r="D8" s="26"/>
      <c r="E8" s="28" t="s">
        <v>74</v>
      </c>
      <c r="F8" s="20"/>
      <c r="G8" s="23"/>
      <c r="H8" s="24"/>
      <c r="I8" s="19" t="s">
        <v>75</v>
      </c>
      <c r="J8" s="20"/>
      <c r="K8" s="17" t="s">
        <v>76</v>
      </c>
      <c r="L8" s="20"/>
    </row>
    <row r="9" spans="1:12" ht="22.5" customHeight="1">
      <c r="A9" s="17" t="s">
        <v>69</v>
      </c>
      <c r="B9" s="18"/>
      <c r="C9" s="24"/>
      <c r="D9" s="26"/>
      <c r="E9" s="29" t="s">
        <v>77</v>
      </c>
      <c r="F9" s="20"/>
      <c r="G9" s="23"/>
      <c r="H9" s="24"/>
      <c r="I9" s="19" t="s">
        <v>78</v>
      </c>
      <c r="J9" s="20"/>
      <c r="K9" s="17" t="s">
        <v>79</v>
      </c>
      <c r="L9" s="20"/>
    </row>
    <row r="10" spans="1:12" ht="22.5" customHeight="1">
      <c r="A10" s="17" t="s">
        <v>80</v>
      </c>
      <c r="B10" s="18"/>
      <c r="C10" s="24"/>
      <c r="D10" s="26"/>
      <c r="E10" s="28" t="s">
        <v>18</v>
      </c>
      <c r="F10" s="20"/>
      <c r="G10" s="23"/>
      <c r="H10" s="24"/>
      <c r="I10" s="30" t="s">
        <v>81</v>
      </c>
      <c r="J10" s="20"/>
      <c r="K10" s="17" t="s">
        <v>82</v>
      </c>
      <c r="L10" s="20"/>
    </row>
    <row r="11" spans="1:12" ht="22.5" customHeight="1">
      <c r="A11" s="17" t="s">
        <v>83</v>
      </c>
      <c r="B11" s="31" t="s">
        <v>13</v>
      </c>
      <c r="C11" s="24"/>
      <c r="D11" s="26"/>
      <c r="E11" s="29" t="s">
        <v>84</v>
      </c>
      <c r="F11" s="20"/>
      <c r="G11" s="23"/>
      <c r="H11" s="24"/>
      <c r="I11" s="19" t="s">
        <v>85</v>
      </c>
      <c r="J11" s="20"/>
      <c r="K11" s="32"/>
      <c r="L11" s="26"/>
    </row>
    <row r="12" spans="1:12" ht="22.5" customHeight="1">
      <c r="A12" s="17" t="s">
        <v>86</v>
      </c>
      <c r="B12" s="18"/>
      <c r="C12" s="24"/>
      <c r="D12" s="26"/>
      <c r="E12" s="28" t="s">
        <v>87</v>
      </c>
      <c r="F12" s="25" t="s">
        <v>13</v>
      </c>
      <c r="G12" s="23"/>
      <c r="H12" s="24"/>
      <c r="I12" s="19" t="s">
        <v>88</v>
      </c>
      <c r="J12" s="20"/>
      <c r="K12" s="32"/>
      <c r="L12" s="26"/>
    </row>
    <row r="13" spans="1:12" ht="22.5" customHeight="1">
      <c r="A13" s="17" t="s">
        <v>89</v>
      </c>
      <c r="B13" s="18"/>
      <c r="C13" s="24"/>
      <c r="D13" s="26"/>
      <c r="E13" s="28" t="s">
        <v>21</v>
      </c>
      <c r="F13" s="20"/>
      <c r="G13" s="23"/>
      <c r="H13" s="24"/>
      <c r="I13" s="24"/>
      <c r="J13" s="26"/>
      <c r="K13" s="32"/>
      <c r="L13" s="26"/>
    </row>
    <row r="14" spans="1:12" ht="22.5" customHeight="1">
      <c r="A14" s="17" t="s">
        <v>90</v>
      </c>
      <c r="B14" s="18"/>
      <c r="C14" s="24"/>
      <c r="D14" s="26"/>
      <c r="E14" s="29" t="s">
        <v>91</v>
      </c>
      <c r="F14" s="20"/>
      <c r="G14" s="23"/>
      <c r="H14" s="24"/>
      <c r="I14" s="24"/>
      <c r="J14" s="26"/>
      <c r="K14" s="32"/>
      <c r="L14" s="26"/>
    </row>
    <row r="15" spans="1:12" ht="22.5" customHeight="1">
      <c r="A15" s="17" t="s">
        <v>92</v>
      </c>
      <c r="B15" s="18"/>
      <c r="C15" s="24"/>
      <c r="D15" s="26"/>
      <c r="E15" s="28" t="s">
        <v>36</v>
      </c>
      <c r="F15" s="20"/>
      <c r="G15" s="23"/>
      <c r="H15" s="24"/>
      <c r="I15" s="24"/>
      <c r="J15" s="26"/>
      <c r="K15" s="32"/>
      <c r="L15" s="26"/>
    </row>
    <row r="16" spans="1:12" ht="22.5" customHeight="1">
      <c r="A16" s="17" t="s">
        <v>93</v>
      </c>
      <c r="B16" s="18"/>
      <c r="C16" s="24"/>
      <c r="D16" s="26"/>
      <c r="E16" s="33" t="s">
        <v>94</v>
      </c>
      <c r="F16" s="20"/>
      <c r="G16" s="23"/>
      <c r="H16" s="24"/>
      <c r="I16" s="24"/>
      <c r="J16" s="26"/>
      <c r="K16" s="32"/>
      <c r="L16" s="26"/>
    </row>
    <row r="17" spans="1:12" ht="22.5" customHeight="1">
      <c r="A17" s="17" t="s">
        <v>95</v>
      </c>
      <c r="B17" s="18"/>
      <c r="C17" s="24"/>
      <c r="D17" s="26"/>
      <c r="E17" s="28" t="s">
        <v>96</v>
      </c>
      <c r="F17" s="20"/>
      <c r="G17" s="23"/>
      <c r="H17" s="24"/>
      <c r="I17" s="24"/>
      <c r="J17" s="26"/>
      <c r="K17" s="32"/>
      <c r="L17" s="26"/>
    </row>
    <row r="18" spans="1:12" ht="22.5" customHeight="1">
      <c r="A18" s="17" t="s">
        <v>97</v>
      </c>
      <c r="B18" s="18"/>
      <c r="C18" s="24"/>
      <c r="D18" s="26"/>
      <c r="E18" s="29" t="s">
        <v>98</v>
      </c>
      <c r="F18" s="20"/>
      <c r="G18" s="23"/>
      <c r="H18" s="24"/>
      <c r="I18" s="24"/>
      <c r="J18" s="26"/>
      <c r="K18" s="32"/>
      <c r="L18" s="26"/>
    </row>
    <row r="19" spans="1:12" ht="22.5" customHeight="1">
      <c r="A19" s="17" t="s">
        <v>99</v>
      </c>
      <c r="B19" s="18"/>
      <c r="C19" s="24"/>
      <c r="D19" s="26"/>
      <c r="E19" s="28" t="s">
        <v>100</v>
      </c>
      <c r="F19" s="25" t="s">
        <v>13</v>
      </c>
      <c r="G19" s="23"/>
      <c r="H19" s="24"/>
      <c r="I19" s="24"/>
      <c r="J19" s="26"/>
      <c r="K19" s="32"/>
      <c r="L19" s="26"/>
    </row>
    <row r="20" spans="1:12" ht="22.5" customHeight="1">
      <c r="A20" s="17" t="s">
        <v>101</v>
      </c>
      <c r="B20" s="18"/>
      <c r="C20" s="24"/>
      <c r="D20" s="26"/>
      <c r="E20" s="19" t="s">
        <v>102</v>
      </c>
      <c r="F20" s="25" t="s">
        <v>13</v>
      </c>
      <c r="G20" s="23"/>
      <c r="H20" s="24"/>
      <c r="I20" s="24"/>
      <c r="J20" s="26"/>
      <c r="K20" s="32"/>
      <c r="L20" s="26"/>
    </row>
    <row r="21" spans="1:12" ht="22.5" customHeight="1">
      <c r="A21" s="17" t="s">
        <v>103</v>
      </c>
      <c r="B21" s="18"/>
      <c r="C21" s="24"/>
      <c r="D21" s="26"/>
      <c r="E21" s="17" t="s">
        <v>104</v>
      </c>
      <c r="F21" s="20"/>
      <c r="G21" s="23"/>
      <c r="H21" s="32"/>
      <c r="I21" s="24"/>
      <c r="J21" s="26"/>
      <c r="K21" s="32"/>
      <c r="L21" s="26"/>
    </row>
    <row r="22" spans="1:12" ht="22.5" customHeight="1">
      <c r="A22" s="17" t="s">
        <v>105</v>
      </c>
      <c r="B22" s="18"/>
      <c r="C22" s="24"/>
      <c r="D22" s="26"/>
      <c r="E22" s="32"/>
      <c r="F22" s="20"/>
      <c r="G22" s="26"/>
      <c r="H22" s="26"/>
      <c r="I22" s="32"/>
      <c r="J22" s="26"/>
      <c r="K22" s="32"/>
      <c r="L22" s="26"/>
    </row>
    <row r="23" spans="1:12" ht="22.5" customHeight="1">
      <c r="A23" s="17" t="s">
        <v>106</v>
      </c>
      <c r="B23" s="18"/>
      <c r="C23" s="24"/>
      <c r="D23" s="26"/>
      <c r="E23" s="32"/>
      <c r="F23" s="20"/>
      <c r="G23" s="26"/>
      <c r="H23" s="26"/>
      <c r="I23" s="32"/>
      <c r="J23" s="26"/>
      <c r="K23" s="32"/>
      <c r="L23" s="32"/>
    </row>
    <row r="24" spans="1:12" ht="22.5" customHeight="1">
      <c r="A24" s="17" t="s">
        <v>107</v>
      </c>
      <c r="B24" s="18"/>
      <c r="C24" s="24"/>
      <c r="D24" s="26"/>
      <c r="E24" s="32"/>
      <c r="F24" s="20"/>
      <c r="G24" s="26"/>
      <c r="H24" s="26"/>
      <c r="I24" s="32"/>
      <c r="J24" s="26"/>
      <c r="K24" s="32"/>
      <c r="L24" s="32"/>
    </row>
  </sheetData>
  <dataValidations count="1">
    <dataValidation type="list" allowBlank="1" showErrorMessage="1" sqref="B2:B4 H2:H4 D2:D5 L2:L10 J2:J12 F2:F14 F16:F20 B6:B24" xr:uid="{00000000-0002-0000-0100-000000000000}">
      <formula1>"Pass,Improvement,Fail,N/A,Blocked"</formula1>
    </dataValidation>
  </dataValidations>
  <hyperlinks>
    <hyperlink ref="A2" location="Core!A10:D10" display="Geoblock page" xr:uid="{00000000-0004-0000-0100-000000000000}"/>
    <hyperlink ref="C2" location="Games!B10:E10" display="Giveaways" xr:uid="{00000000-0004-0000-0100-000001000000}"/>
    <hyperlink ref="E2" location="'Core BO'!A10:D10" display="Players" xr:uid="{00000000-0004-0000-0100-000002000000}"/>
    <hyperlink ref="I2" location="Payments!B10:E10" display="No 3DS - Debit card" xr:uid="{00000000-0004-0000-0100-000003000000}"/>
    <hyperlink ref="C3" location="Games!B19:E19" display="Tournaments" xr:uid="{00000000-0004-0000-0100-000004000000}"/>
    <hyperlink ref="I3" location="Payments!B27:E27" display="No 3DS - Credit card" xr:uid="{00000000-0004-0000-0100-000005000000}"/>
    <hyperlink ref="A4" location="Core!A13:D13" display="Logged out lobby" xr:uid="{00000000-0004-0000-0100-000006000000}"/>
    <hyperlink ref="I4" location="Payments!B44:E44" display="3DS - Debit card - Transation accepted" xr:uid="{00000000-0004-0000-0100-000007000000}"/>
    <hyperlink ref="A5" location="Core!A21:D21" display="New account - Onboarding" xr:uid="{00000000-0004-0000-0100-000008000000}"/>
    <hyperlink ref="I5" location="Payments!B54:E54" display="3DS - Debit card - Transation rejected" xr:uid="{00000000-0004-0000-0100-000009000000}"/>
    <hyperlink ref="A6" location="Core!A49:D49" display="Logged in lobby" xr:uid="{00000000-0004-0000-0100-00000A000000}"/>
    <hyperlink ref="I6" location="Payments!B63:E63" display="3DS - Credit card - Transation accepted" xr:uid="{00000000-0004-0000-0100-00000B000000}"/>
    <hyperlink ref="A7" location="Core!A54:D54" display="My Profile" xr:uid="{00000000-0004-0000-0100-00000C000000}"/>
    <hyperlink ref="I7" location="Payments!B73:E73" display="3DS - Credit card - Transation rejected" xr:uid="{00000000-0004-0000-0100-00000D000000}"/>
    <hyperlink ref="I8" location="Payments!B82:E82" display="CVV check" xr:uid="{00000000-0004-0000-0100-00000E000000}"/>
    <hyperlink ref="A9" location="Core!A60:D60" display="My Profile" xr:uid="{00000000-0004-0000-0100-00000F000000}"/>
    <hyperlink ref="I9" location="Payments!B87:E87" display="AVS check (Billing address check)" xr:uid="{00000000-0004-0000-0100-000010000000}"/>
    <hyperlink ref="I10" location="Payments!B91:E91" display="Automatic Risk level changes" xr:uid="{00000000-0004-0000-0100-000011000000}"/>
    <hyperlink ref="I11" location="Payments!B94:E94" display="Additional Test" xr:uid="{00000000-0004-0000-0100-000012000000}"/>
    <hyperlink ref="I12" location="Payments!B97:E97" display="Additional Payment Methods" xr:uid="{00000000-0004-0000-0100-000013000000}"/>
    <hyperlink ref="A13" location="Core!A62:D62" display="Refer a Friend section + Store" xr:uid="{00000000-0004-0000-0100-000014000000}"/>
    <hyperlink ref="A14" location="Core!A79:D79" display="Daily Bonus Streaks section" xr:uid="{00000000-0004-0000-0100-000015000000}"/>
    <hyperlink ref="A15" location="Core!A81:D81" display="VIP Ranks section" xr:uid="{00000000-0004-0000-0100-000016000000}"/>
    <hyperlink ref="A17" location="Core!A85:D85" display="FAQ tab" xr:uid="{00000000-0004-0000-0100-000017000000}"/>
    <hyperlink ref="A18" location="Core!A87:D87" display="Live Chat tab" xr:uid="{00000000-0004-0000-0100-000018000000}"/>
    <hyperlink ref="A19" location="Core!A89:D89" display="Notifications button" xr:uid="{00000000-0004-0000-0100-000019000000}"/>
    <hyperlink ref="A21" location="Core!A91:D91" display="Responsible gaming tab - Purchase limits" xr:uid="{00000000-0004-0000-0100-00001A000000}"/>
    <hyperlink ref="A22" location="Core!A93:D93" display="Streak Repair" xr:uid="{00000000-0004-0000-0100-00001B000000}"/>
    <hyperlink ref="A23" location="Core!A96:D96" display="Wheel Spin" xr:uid="{00000000-0004-0000-0100-00001C000000}"/>
    <hyperlink ref="A24" location="Core!A98:D98" display="GPS geoblock" xr:uid="{00000000-0004-0000-0100-00001D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1019"/>
  <sheetViews>
    <sheetView workbookViewId="0"/>
  </sheetViews>
  <sheetFormatPr defaultColWidth="12.59765625" defaultRowHeight="15" customHeight="1"/>
  <cols>
    <col min="1" max="1" width="4.265625" customWidth="1"/>
    <col min="2" max="2" width="13.3984375" customWidth="1"/>
    <col min="3" max="3" width="80.265625" customWidth="1"/>
    <col min="5" max="5" width="15.3984375" customWidth="1"/>
    <col min="6" max="6" width="61.265625" customWidth="1"/>
    <col min="7" max="7" width="20" customWidth="1"/>
  </cols>
  <sheetData>
    <row r="1" spans="2:10" ht="25.9">
      <c r="B1" s="34"/>
      <c r="C1" s="35" t="s">
        <v>108</v>
      </c>
      <c r="D1" s="36">
        <f>COUNTIF(E:E, "Pending") + COUNTIF(E:E, "Done") + COUNTIF(E:E, "In Progress") + COUNTIF(E:E, "TBD")</f>
        <v>170</v>
      </c>
      <c r="E1" s="37" t="s">
        <v>109</v>
      </c>
      <c r="F1" s="1">
        <f t="array" aca="1" ref="F1" ca="1">COUNTA(UNIQUE(F4:F1019))</f>
        <v>1</v>
      </c>
    </row>
    <row r="2" spans="2:10" ht="12.75">
      <c r="B2" s="38"/>
    </row>
    <row r="3" spans="2:10" ht="22.5" customHeight="1">
      <c r="B3" s="39" t="s">
        <v>110</v>
      </c>
      <c r="C3" s="40" t="s">
        <v>111</v>
      </c>
      <c r="D3" s="40" t="s">
        <v>112</v>
      </c>
      <c r="E3" s="40" t="s">
        <v>113</v>
      </c>
      <c r="F3" s="40" t="s">
        <v>114</v>
      </c>
      <c r="G3" s="40" t="s">
        <v>115</v>
      </c>
    </row>
    <row r="4" spans="2:10" ht="22.5" customHeight="1">
      <c r="B4" s="39" t="s">
        <v>116</v>
      </c>
      <c r="C4" s="41" t="s">
        <v>117</v>
      </c>
      <c r="D4" s="39">
        <v>1</v>
      </c>
      <c r="E4" s="39" t="s">
        <v>118</v>
      </c>
      <c r="F4" s="42" t="s">
        <v>117</v>
      </c>
      <c r="G4" s="39"/>
    </row>
    <row r="5" spans="2:10" ht="22.5" customHeight="1">
      <c r="B5" s="39" t="s">
        <v>116</v>
      </c>
      <c r="C5" s="41" t="s">
        <v>119</v>
      </c>
      <c r="D5" s="39">
        <v>2</v>
      </c>
      <c r="E5" s="39" t="s">
        <v>118</v>
      </c>
      <c r="F5" s="42" t="s">
        <v>119</v>
      </c>
      <c r="G5" s="39"/>
    </row>
    <row r="6" spans="2:10" ht="22.5" customHeight="1">
      <c r="B6" s="39" t="s">
        <v>116</v>
      </c>
      <c r="C6" s="41" t="s">
        <v>120</v>
      </c>
      <c r="D6" s="39">
        <v>3</v>
      </c>
      <c r="E6" s="39" t="s">
        <v>118</v>
      </c>
      <c r="F6" s="42" t="s">
        <v>120</v>
      </c>
      <c r="G6" s="39"/>
    </row>
    <row r="7" spans="2:10" ht="22.5" customHeight="1">
      <c r="B7" s="39" t="s">
        <v>116</v>
      </c>
      <c r="C7" s="41" t="s">
        <v>121</v>
      </c>
      <c r="D7" s="39">
        <v>4</v>
      </c>
      <c r="E7" s="39" t="s">
        <v>118</v>
      </c>
      <c r="F7" s="42" t="s">
        <v>122</v>
      </c>
      <c r="G7" s="39"/>
      <c r="J7" s="1"/>
    </row>
    <row r="8" spans="2:10" ht="22.5" customHeight="1">
      <c r="B8" s="39" t="s">
        <v>116</v>
      </c>
      <c r="C8" s="41" t="s">
        <v>123</v>
      </c>
      <c r="D8" s="39">
        <v>5</v>
      </c>
      <c r="E8" s="39" t="s">
        <v>118</v>
      </c>
      <c r="F8" s="42" t="s">
        <v>123</v>
      </c>
      <c r="G8" s="39"/>
    </row>
    <row r="9" spans="2:10" ht="22.5" customHeight="1">
      <c r="B9" s="39" t="s">
        <v>116</v>
      </c>
      <c r="C9" s="41" t="s">
        <v>124</v>
      </c>
      <c r="D9" s="39">
        <v>6</v>
      </c>
      <c r="E9" s="39" t="s">
        <v>118</v>
      </c>
      <c r="F9" s="43" t="s">
        <v>125</v>
      </c>
      <c r="G9" s="39"/>
    </row>
    <row r="10" spans="2:10" ht="22.5" customHeight="1">
      <c r="B10" s="41" t="s">
        <v>126</v>
      </c>
      <c r="C10" s="41" t="s">
        <v>127</v>
      </c>
      <c r="D10" s="39">
        <v>7</v>
      </c>
      <c r="E10" s="39" t="s">
        <v>118</v>
      </c>
      <c r="F10" s="43" t="s">
        <v>128</v>
      </c>
      <c r="G10" s="39"/>
    </row>
    <row r="11" spans="2:10" ht="22.5" customHeight="1">
      <c r="B11" s="39" t="s">
        <v>18</v>
      </c>
      <c r="C11" s="41" t="s">
        <v>129</v>
      </c>
      <c r="D11" s="39">
        <v>8</v>
      </c>
      <c r="E11" s="39" t="s">
        <v>118</v>
      </c>
      <c r="F11" s="43" t="s">
        <v>130</v>
      </c>
      <c r="G11" s="39"/>
    </row>
    <row r="12" spans="2:10" ht="22.5" customHeight="1">
      <c r="B12" s="39" t="s">
        <v>36</v>
      </c>
      <c r="C12" s="41" t="s">
        <v>131</v>
      </c>
      <c r="D12" s="39">
        <v>9</v>
      </c>
      <c r="E12" s="39" t="s">
        <v>118</v>
      </c>
      <c r="F12" s="43" t="s">
        <v>132</v>
      </c>
      <c r="G12" s="39"/>
    </row>
    <row r="13" spans="2:10" ht="22.5" customHeight="1">
      <c r="B13" s="39" t="s">
        <v>36</v>
      </c>
      <c r="C13" s="41" t="s">
        <v>133</v>
      </c>
      <c r="D13" s="39">
        <v>10</v>
      </c>
      <c r="E13" s="39" t="s">
        <v>118</v>
      </c>
      <c r="F13" s="43" t="s">
        <v>134</v>
      </c>
      <c r="G13" s="39"/>
    </row>
    <row r="14" spans="2:10" ht="22.5" customHeight="1">
      <c r="B14" s="39" t="s">
        <v>126</v>
      </c>
      <c r="C14" s="44" t="s">
        <v>135</v>
      </c>
      <c r="D14" s="39">
        <v>11</v>
      </c>
      <c r="E14" s="39" t="s">
        <v>136</v>
      </c>
      <c r="F14" s="43" t="s">
        <v>137</v>
      </c>
      <c r="G14" s="39"/>
    </row>
    <row r="15" spans="2:10" ht="22.5" customHeight="1">
      <c r="B15" s="39" t="s">
        <v>126</v>
      </c>
      <c r="C15" s="41" t="s">
        <v>138</v>
      </c>
      <c r="D15" s="39">
        <v>12</v>
      </c>
      <c r="E15" s="39" t="s">
        <v>136</v>
      </c>
      <c r="F15" s="43" t="s">
        <v>139</v>
      </c>
      <c r="G15" s="39"/>
    </row>
    <row r="16" spans="2:10" ht="22.5" customHeight="1">
      <c r="B16" s="39" t="s">
        <v>126</v>
      </c>
      <c r="C16" s="41" t="s">
        <v>140</v>
      </c>
      <c r="D16" s="39">
        <v>13</v>
      </c>
      <c r="E16" s="39" t="s">
        <v>136</v>
      </c>
      <c r="F16" s="43" t="s">
        <v>141</v>
      </c>
      <c r="G16" s="39"/>
    </row>
    <row r="17" spans="2:7" ht="22.5" customHeight="1">
      <c r="B17" s="39" t="s">
        <v>126</v>
      </c>
      <c r="C17" s="41" t="s">
        <v>142</v>
      </c>
      <c r="D17" s="39">
        <v>14</v>
      </c>
      <c r="E17" s="39" t="s">
        <v>118</v>
      </c>
      <c r="F17" s="43" t="s">
        <v>143</v>
      </c>
      <c r="G17" s="39"/>
    </row>
    <row r="18" spans="2:7" ht="22.5" customHeight="1">
      <c r="B18" s="39" t="s">
        <v>126</v>
      </c>
      <c r="C18" s="45" t="s">
        <v>144</v>
      </c>
      <c r="D18" s="39">
        <v>15</v>
      </c>
      <c r="E18" s="39" t="s">
        <v>136</v>
      </c>
      <c r="F18" s="46" t="s">
        <v>145</v>
      </c>
      <c r="G18" s="39"/>
    </row>
    <row r="19" spans="2:7" ht="22.5" customHeight="1">
      <c r="B19" s="39" t="s">
        <v>126</v>
      </c>
      <c r="C19" s="41" t="s">
        <v>146</v>
      </c>
      <c r="D19" s="39">
        <v>16</v>
      </c>
      <c r="E19" s="39" t="s">
        <v>136</v>
      </c>
      <c r="F19" s="46" t="s">
        <v>147</v>
      </c>
      <c r="G19" s="39"/>
    </row>
    <row r="20" spans="2:7" ht="22.5" customHeight="1">
      <c r="B20" s="39" t="s">
        <v>126</v>
      </c>
      <c r="C20" s="41" t="s">
        <v>148</v>
      </c>
      <c r="D20" s="39">
        <v>17</v>
      </c>
      <c r="E20" s="39" t="s">
        <v>136</v>
      </c>
      <c r="F20" s="46" t="s">
        <v>149</v>
      </c>
      <c r="G20" s="39"/>
    </row>
    <row r="21" spans="2:7" ht="22.5" customHeight="1">
      <c r="B21" s="39" t="s">
        <v>126</v>
      </c>
      <c r="C21" s="41" t="s">
        <v>150</v>
      </c>
      <c r="D21" s="39">
        <v>18</v>
      </c>
      <c r="E21" s="39" t="s">
        <v>151</v>
      </c>
      <c r="F21" s="39"/>
      <c r="G21" s="39"/>
    </row>
    <row r="22" spans="2:7" ht="22.5" customHeight="1">
      <c r="B22" s="39" t="s">
        <v>126</v>
      </c>
      <c r="C22" s="41" t="s">
        <v>152</v>
      </c>
      <c r="D22" s="39">
        <v>19</v>
      </c>
      <c r="E22" s="39" t="s">
        <v>151</v>
      </c>
      <c r="F22" s="39"/>
      <c r="G22" s="39"/>
    </row>
    <row r="23" spans="2:7" ht="22.5" customHeight="1">
      <c r="B23" s="39" t="s">
        <v>126</v>
      </c>
      <c r="C23" s="41" t="s">
        <v>153</v>
      </c>
      <c r="D23" s="39">
        <v>20</v>
      </c>
      <c r="E23" s="39" t="s">
        <v>151</v>
      </c>
      <c r="F23" s="39"/>
      <c r="G23" s="39"/>
    </row>
    <row r="24" spans="2:7" ht="22.5" customHeight="1">
      <c r="B24" s="39" t="s">
        <v>126</v>
      </c>
      <c r="C24" s="41" t="s">
        <v>154</v>
      </c>
      <c r="D24" s="39">
        <v>21</v>
      </c>
      <c r="E24" s="39" t="s">
        <v>151</v>
      </c>
      <c r="F24" s="39"/>
      <c r="G24" s="39"/>
    </row>
    <row r="25" spans="2:7" ht="22.5" customHeight="1">
      <c r="B25" s="39" t="s">
        <v>126</v>
      </c>
      <c r="C25" s="41" t="s">
        <v>155</v>
      </c>
      <c r="D25" s="39">
        <v>22</v>
      </c>
      <c r="E25" s="39" t="s">
        <v>151</v>
      </c>
      <c r="F25" s="39"/>
      <c r="G25" s="39"/>
    </row>
    <row r="26" spans="2:7" ht="22.5" customHeight="1">
      <c r="B26" s="39" t="s">
        <v>126</v>
      </c>
      <c r="C26" s="41" t="s">
        <v>156</v>
      </c>
      <c r="D26" s="39">
        <v>23</v>
      </c>
      <c r="E26" s="39" t="s">
        <v>151</v>
      </c>
      <c r="F26" s="39"/>
      <c r="G26" s="39"/>
    </row>
    <row r="27" spans="2:7" ht="22.5" customHeight="1">
      <c r="B27" s="39" t="s">
        <v>126</v>
      </c>
      <c r="C27" s="41" t="s">
        <v>157</v>
      </c>
      <c r="D27" s="39">
        <v>24</v>
      </c>
      <c r="E27" s="39" t="s">
        <v>151</v>
      </c>
      <c r="F27" s="39"/>
      <c r="G27" s="39"/>
    </row>
    <row r="28" spans="2:7" ht="22.5" customHeight="1">
      <c r="B28" s="39" t="s">
        <v>126</v>
      </c>
      <c r="C28" s="41" t="s">
        <v>158</v>
      </c>
      <c r="D28" s="39">
        <v>25</v>
      </c>
      <c r="E28" s="39" t="s">
        <v>151</v>
      </c>
      <c r="F28" s="39"/>
      <c r="G28" s="39"/>
    </row>
    <row r="29" spans="2:7" ht="22.5" customHeight="1">
      <c r="B29" s="39" t="s">
        <v>126</v>
      </c>
      <c r="C29" s="41" t="s">
        <v>159</v>
      </c>
      <c r="D29" s="39">
        <v>26</v>
      </c>
      <c r="E29" s="39" t="s">
        <v>151</v>
      </c>
      <c r="F29" s="39"/>
      <c r="G29" s="39"/>
    </row>
    <row r="30" spans="2:7" ht="22.5" customHeight="1">
      <c r="B30" s="39" t="s">
        <v>116</v>
      </c>
      <c r="C30" s="41" t="s">
        <v>160</v>
      </c>
      <c r="D30" s="39">
        <v>27</v>
      </c>
      <c r="E30" s="39" t="s">
        <v>151</v>
      </c>
      <c r="F30" s="39" t="s">
        <v>13</v>
      </c>
      <c r="G30" s="39"/>
    </row>
    <row r="31" spans="2:7" ht="22.5" customHeight="1">
      <c r="B31" s="39" t="s">
        <v>116</v>
      </c>
      <c r="C31" s="41" t="s">
        <v>161</v>
      </c>
      <c r="D31" s="39">
        <v>28</v>
      </c>
      <c r="E31" s="39" t="s">
        <v>151</v>
      </c>
      <c r="F31" s="39" t="s">
        <v>13</v>
      </c>
      <c r="G31" s="39"/>
    </row>
    <row r="32" spans="2:7" ht="22.5" customHeight="1">
      <c r="B32" s="39" t="s">
        <v>116</v>
      </c>
      <c r="C32" s="41" t="s">
        <v>162</v>
      </c>
      <c r="D32" s="39">
        <v>29</v>
      </c>
      <c r="E32" s="39" t="s">
        <v>151</v>
      </c>
      <c r="F32" s="39" t="s">
        <v>13</v>
      </c>
      <c r="G32" s="39"/>
    </row>
    <row r="33" spans="2:7" ht="22.5" customHeight="1">
      <c r="B33" s="39" t="s">
        <v>36</v>
      </c>
      <c r="C33" s="41" t="s">
        <v>163</v>
      </c>
      <c r="D33" s="39">
        <v>30</v>
      </c>
      <c r="E33" s="39" t="s">
        <v>151</v>
      </c>
      <c r="F33" s="39" t="s">
        <v>13</v>
      </c>
      <c r="G33" s="39"/>
    </row>
    <row r="34" spans="2:7" ht="22.5" customHeight="1">
      <c r="B34" s="39" t="s">
        <v>36</v>
      </c>
      <c r="C34" s="41" t="s">
        <v>164</v>
      </c>
      <c r="D34" s="39">
        <v>31</v>
      </c>
      <c r="E34" s="39" t="s">
        <v>151</v>
      </c>
      <c r="F34" s="39" t="s">
        <v>13</v>
      </c>
      <c r="G34" s="39"/>
    </row>
    <row r="35" spans="2:7" ht="22.5" customHeight="1">
      <c r="B35" s="39" t="s">
        <v>36</v>
      </c>
      <c r="C35" s="41" t="s">
        <v>165</v>
      </c>
      <c r="D35" s="39"/>
      <c r="E35" s="39" t="s">
        <v>151</v>
      </c>
      <c r="F35" s="39" t="s">
        <v>13</v>
      </c>
      <c r="G35" s="39"/>
    </row>
    <row r="36" spans="2:7" ht="22.5" customHeight="1">
      <c r="B36" s="39" t="s">
        <v>36</v>
      </c>
      <c r="C36" s="41" t="s">
        <v>166</v>
      </c>
      <c r="D36" s="39"/>
      <c r="E36" s="39" t="s">
        <v>151</v>
      </c>
      <c r="F36" s="39" t="s">
        <v>13</v>
      </c>
      <c r="G36" s="39"/>
    </row>
    <row r="37" spans="2:7" ht="22.5" customHeight="1">
      <c r="B37" s="39" t="s">
        <v>36</v>
      </c>
      <c r="C37" s="41" t="s">
        <v>167</v>
      </c>
      <c r="D37" s="39"/>
      <c r="E37" s="39" t="s">
        <v>151</v>
      </c>
      <c r="F37" s="39" t="s">
        <v>13</v>
      </c>
      <c r="G37" s="39"/>
    </row>
    <row r="38" spans="2:7" ht="22.5" customHeight="1">
      <c r="B38" s="39" t="s">
        <v>36</v>
      </c>
      <c r="C38" s="41" t="s">
        <v>168</v>
      </c>
      <c r="D38" s="39"/>
      <c r="E38" s="39" t="s">
        <v>151</v>
      </c>
      <c r="F38" s="39" t="s">
        <v>13</v>
      </c>
      <c r="G38" s="39"/>
    </row>
    <row r="39" spans="2:7" ht="22.5" customHeight="1">
      <c r="B39" s="39" t="s">
        <v>116</v>
      </c>
      <c r="C39" s="41" t="s">
        <v>169</v>
      </c>
      <c r="D39" s="39"/>
      <c r="E39" s="39" t="s">
        <v>151</v>
      </c>
      <c r="F39" s="42" t="s">
        <v>170</v>
      </c>
      <c r="G39" s="39"/>
    </row>
    <row r="40" spans="2:7" ht="22.5" customHeight="1">
      <c r="B40" s="39" t="s">
        <v>116</v>
      </c>
      <c r="C40" s="41" t="s">
        <v>171</v>
      </c>
      <c r="D40" s="39"/>
      <c r="E40" s="39" t="s">
        <v>151</v>
      </c>
      <c r="F40" s="42" t="s">
        <v>172</v>
      </c>
      <c r="G40" s="39"/>
    </row>
    <row r="41" spans="2:7" ht="22.5" customHeight="1">
      <c r="B41" s="39" t="s">
        <v>116</v>
      </c>
      <c r="C41" s="41" t="s">
        <v>173</v>
      </c>
      <c r="D41" s="39"/>
      <c r="E41" s="39" t="s">
        <v>151</v>
      </c>
      <c r="F41" s="39" t="s">
        <v>13</v>
      </c>
      <c r="G41" s="39"/>
    </row>
    <row r="42" spans="2:7" ht="22.5" customHeight="1">
      <c r="B42" s="39" t="s">
        <v>18</v>
      </c>
      <c r="C42" s="47" t="s">
        <v>174</v>
      </c>
      <c r="D42" s="39"/>
      <c r="E42" s="39" t="s">
        <v>151</v>
      </c>
      <c r="F42" s="39" t="s">
        <v>13</v>
      </c>
      <c r="G42" s="39"/>
    </row>
    <row r="43" spans="2:7" ht="22.5" customHeight="1">
      <c r="B43" s="39" t="s">
        <v>18</v>
      </c>
      <c r="C43" s="47" t="s">
        <v>175</v>
      </c>
      <c r="D43" s="39"/>
      <c r="E43" s="39" t="s">
        <v>151</v>
      </c>
      <c r="F43" s="39" t="s">
        <v>13</v>
      </c>
      <c r="G43" s="39"/>
    </row>
    <row r="44" spans="2:7" ht="22.5" customHeight="1">
      <c r="B44" s="39" t="s">
        <v>18</v>
      </c>
      <c r="C44" s="47" t="s">
        <v>176</v>
      </c>
      <c r="D44" s="39"/>
      <c r="E44" s="39" t="s">
        <v>151</v>
      </c>
      <c r="F44" s="39" t="s">
        <v>13</v>
      </c>
      <c r="G44" s="39"/>
    </row>
    <row r="45" spans="2:7" ht="22.5" customHeight="1">
      <c r="B45" s="39" t="s">
        <v>126</v>
      </c>
      <c r="C45" s="41" t="s">
        <v>177</v>
      </c>
      <c r="D45" s="39"/>
      <c r="E45" s="39" t="s">
        <v>151</v>
      </c>
      <c r="F45" s="42" t="s">
        <v>178</v>
      </c>
      <c r="G45" s="39"/>
    </row>
    <row r="46" spans="2:7" ht="22.5" customHeight="1">
      <c r="B46" s="39" t="s">
        <v>126</v>
      </c>
      <c r="C46" s="41" t="s">
        <v>179</v>
      </c>
      <c r="D46" s="39"/>
      <c r="E46" s="39" t="s">
        <v>151</v>
      </c>
      <c r="F46" s="39" t="s">
        <v>13</v>
      </c>
      <c r="G46" s="39"/>
    </row>
    <row r="47" spans="2:7" ht="22.5" customHeight="1">
      <c r="B47" s="39" t="s">
        <v>126</v>
      </c>
      <c r="C47" s="41" t="s">
        <v>180</v>
      </c>
      <c r="D47" s="39"/>
      <c r="E47" s="39" t="s">
        <v>151</v>
      </c>
      <c r="F47" s="42" t="s">
        <v>181</v>
      </c>
      <c r="G47" s="39"/>
    </row>
    <row r="48" spans="2:7" ht="22.5" customHeight="1">
      <c r="B48" s="39" t="s">
        <v>36</v>
      </c>
      <c r="C48" s="41" t="s">
        <v>182</v>
      </c>
      <c r="D48" s="39"/>
      <c r="E48" s="39" t="s">
        <v>151</v>
      </c>
      <c r="F48" s="42" t="s">
        <v>182</v>
      </c>
      <c r="G48" s="39"/>
    </row>
    <row r="49" spans="2:7" ht="22.5" customHeight="1">
      <c r="B49" s="39" t="s">
        <v>36</v>
      </c>
      <c r="C49" s="41" t="s">
        <v>183</v>
      </c>
      <c r="D49" s="39"/>
      <c r="E49" s="39" t="s">
        <v>151</v>
      </c>
      <c r="F49" s="42" t="s">
        <v>183</v>
      </c>
      <c r="G49" s="39"/>
    </row>
    <row r="50" spans="2:7" ht="22.5" customHeight="1">
      <c r="B50" s="39" t="s">
        <v>126</v>
      </c>
      <c r="C50" s="41" t="s">
        <v>184</v>
      </c>
      <c r="D50" s="39"/>
      <c r="E50" s="39" t="s">
        <v>151</v>
      </c>
      <c r="F50" s="39" t="s">
        <v>13</v>
      </c>
      <c r="G50" s="39"/>
    </row>
    <row r="51" spans="2:7" ht="22.5" customHeight="1">
      <c r="B51" s="39" t="s">
        <v>18</v>
      </c>
      <c r="C51" s="47" t="s">
        <v>185</v>
      </c>
      <c r="D51" s="39"/>
      <c r="E51" s="39" t="s">
        <v>151</v>
      </c>
      <c r="F51" s="39" t="s">
        <v>13</v>
      </c>
      <c r="G51" s="39"/>
    </row>
    <row r="52" spans="2:7" ht="22.5" customHeight="1">
      <c r="B52" s="39" t="s">
        <v>18</v>
      </c>
      <c r="C52" s="47" t="s">
        <v>186</v>
      </c>
      <c r="D52" s="39"/>
      <c r="E52" s="39" t="s">
        <v>151</v>
      </c>
      <c r="F52" s="39" t="s">
        <v>13</v>
      </c>
      <c r="G52" s="39"/>
    </row>
    <row r="53" spans="2:7" ht="22.5" customHeight="1">
      <c r="B53" s="39" t="s">
        <v>18</v>
      </c>
      <c r="C53" s="47" t="s">
        <v>187</v>
      </c>
      <c r="D53" s="39"/>
      <c r="E53" s="39" t="s">
        <v>151</v>
      </c>
      <c r="F53" s="39" t="s">
        <v>13</v>
      </c>
      <c r="G53" s="39"/>
    </row>
    <row r="54" spans="2:7" ht="22.5" customHeight="1">
      <c r="B54" s="39" t="s">
        <v>18</v>
      </c>
      <c r="C54" s="47" t="s">
        <v>188</v>
      </c>
      <c r="D54" s="39"/>
      <c r="E54" s="39" t="s">
        <v>151</v>
      </c>
      <c r="F54" s="39" t="s">
        <v>13</v>
      </c>
      <c r="G54" s="39"/>
    </row>
    <row r="55" spans="2:7" ht="22.5" customHeight="1">
      <c r="B55" s="39" t="s">
        <v>116</v>
      </c>
      <c r="C55" s="41" t="s">
        <v>189</v>
      </c>
      <c r="D55" s="39"/>
      <c r="E55" s="39" t="s">
        <v>151</v>
      </c>
      <c r="F55" s="48" t="s">
        <v>189</v>
      </c>
      <c r="G55" s="39"/>
    </row>
    <row r="56" spans="2:7" ht="22.5" customHeight="1">
      <c r="B56" s="39" t="s">
        <v>116</v>
      </c>
      <c r="C56" s="41" t="s">
        <v>190</v>
      </c>
      <c r="D56" s="39"/>
      <c r="E56" s="39" t="s">
        <v>151</v>
      </c>
      <c r="F56" s="42" t="s">
        <v>191</v>
      </c>
      <c r="G56" s="39"/>
    </row>
    <row r="57" spans="2:7" ht="22.5" customHeight="1">
      <c r="B57" s="39" t="s">
        <v>116</v>
      </c>
      <c r="C57" s="41" t="s">
        <v>192</v>
      </c>
      <c r="D57" s="39"/>
      <c r="E57" s="39" t="s">
        <v>151</v>
      </c>
      <c r="F57" s="39" t="s">
        <v>13</v>
      </c>
      <c r="G57" s="39"/>
    </row>
    <row r="58" spans="2:7" ht="22.5" customHeight="1">
      <c r="B58" s="39" t="s">
        <v>116</v>
      </c>
      <c r="C58" s="41" t="s">
        <v>193</v>
      </c>
      <c r="D58" s="39"/>
      <c r="E58" s="39" t="s">
        <v>151</v>
      </c>
      <c r="F58" s="42" t="s">
        <v>194</v>
      </c>
      <c r="G58" s="39"/>
    </row>
    <row r="59" spans="2:7" ht="22.5" customHeight="1">
      <c r="B59" s="39" t="s">
        <v>116</v>
      </c>
      <c r="C59" s="41" t="s">
        <v>195</v>
      </c>
      <c r="D59" s="39"/>
      <c r="E59" s="39" t="s">
        <v>196</v>
      </c>
      <c r="F59" s="42" t="s">
        <v>197</v>
      </c>
      <c r="G59" s="39"/>
    </row>
    <row r="60" spans="2:7" ht="22.5" customHeight="1">
      <c r="B60" s="39" t="s">
        <v>116</v>
      </c>
      <c r="C60" s="41" t="s">
        <v>198</v>
      </c>
      <c r="D60" s="39"/>
      <c r="E60" s="39" t="s">
        <v>196</v>
      </c>
      <c r="F60" s="42" t="s">
        <v>197</v>
      </c>
      <c r="G60" s="39"/>
    </row>
    <row r="61" spans="2:7" ht="22.5" customHeight="1">
      <c r="B61" s="39" t="s">
        <v>116</v>
      </c>
      <c r="C61" s="41" t="s">
        <v>199</v>
      </c>
      <c r="D61" s="39"/>
      <c r="E61" s="39" t="s">
        <v>151</v>
      </c>
      <c r="F61" s="39" t="s">
        <v>13</v>
      </c>
      <c r="G61" s="39"/>
    </row>
    <row r="62" spans="2:7" ht="22.5" customHeight="1">
      <c r="B62" s="39" t="s">
        <v>116</v>
      </c>
      <c r="C62" s="41" t="s">
        <v>200</v>
      </c>
      <c r="D62" s="39"/>
      <c r="E62" s="39" t="s">
        <v>196</v>
      </c>
      <c r="F62" s="42" t="s">
        <v>197</v>
      </c>
      <c r="G62" s="39"/>
    </row>
    <row r="63" spans="2:7" ht="22.5" customHeight="1">
      <c r="B63" s="39" t="s">
        <v>116</v>
      </c>
      <c r="C63" s="41" t="s">
        <v>201</v>
      </c>
      <c r="D63" s="39"/>
      <c r="E63" s="39" t="s">
        <v>151</v>
      </c>
      <c r="F63" s="39" t="s">
        <v>13</v>
      </c>
      <c r="G63" s="39"/>
    </row>
    <row r="64" spans="2:7" ht="22.5" customHeight="1">
      <c r="B64" s="39" t="s">
        <v>116</v>
      </c>
      <c r="C64" s="41" t="s">
        <v>202</v>
      </c>
      <c r="D64" s="39"/>
      <c r="E64" s="39" t="s">
        <v>151</v>
      </c>
      <c r="F64" s="39" t="s">
        <v>13</v>
      </c>
      <c r="G64" s="39"/>
    </row>
    <row r="65" spans="2:7" ht="22.5" customHeight="1">
      <c r="B65" s="39" t="s">
        <v>116</v>
      </c>
      <c r="C65" s="41" t="s">
        <v>203</v>
      </c>
      <c r="D65" s="39"/>
      <c r="E65" s="39" t="s">
        <v>151</v>
      </c>
      <c r="F65" s="39" t="s">
        <v>13</v>
      </c>
      <c r="G65" s="39"/>
    </row>
    <row r="66" spans="2:7" ht="22.5" customHeight="1">
      <c r="B66" s="39" t="s">
        <v>116</v>
      </c>
      <c r="C66" s="41" t="s">
        <v>204</v>
      </c>
      <c r="D66" s="39"/>
      <c r="E66" s="39" t="s">
        <v>151</v>
      </c>
      <c r="F66" s="39" t="s">
        <v>13</v>
      </c>
      <c r="G66" s="39"/>
    </row>
    <row r="67" spans="2:7" ht="22.5" customHeight="1">
      <c r="B67" s="39" t="s">
        <v>116</v>
      </c>
      <c r="C67" s="41" t="s">
        <v>205</v>
      </c>
      <c r="D67" s="39"/>
      <c r="E67" s="39" t="s">
        <v>151</v>
      </c>
      <c r="F67" s="39" t="s">
        <v>13</v>
      </c>
      <c r="G67" s="39"/>
    </row>
    <row r="68" spans="2:7" ht="22.5" customHeight="1">
      <c r="B68" s="39" t="s">
        <v>116</v>
      </c>
      <c r="C68" s="41" t="s">
        <v>206</v>
      </c>
      <c r="D68" s="39"/>
      <c r="E68" s="39" t="s">
        <v>151</v>
      </c>
      <c r="F68" s="42" t="s">
        <v>206</v>
      </c>
      <c r="G68" s="39"/>
    </row>
    <row r="69" spans="2:7" ht="22.5" customHeight="1">
      <c r="B69" s="39" t="s">
        <v>116</v>
      </c>
      <c r="C69" s="41" t="s">
        <v>207</v>
      </c>
      <c r="D69" s="39"/>
      <c r="E69" s="39" t="s">
        <v>151</v>
      </c>
      <c r="F69" s="39" t="s">
        <v>13</v>
      </c>
      <c r="G69" s="39"/>
    </row>
    <row r="70" spans="2:7" ht="22.5" customHeight="1">
      <c r="B70" s="39" t="s">
        <v>126</v>
      </c>
      <c r="C70" s="41" t="s">
        <v>208</v>
      </c>
      <c r="D70" s="39"/>
      <c r="E70" s="39" t="s">
        <v>151</v>
      </c>
      <c r="F70" s="39" t="s">
        <v>13</v>
      </c>
      <c r="G70" s="39"/>
    </row>
    <row r="71" spans="2:7" ht="22.5" customHeight="1">
      <c r="B71" s="39" t="s">
        <v>18</v>
      </c>
      <c r="C71" s="47" t="s">
        <v>209</v>
      </c>
      <c r="D71" s="39"/>
      <c r="E71" s="39" t="s">
        <v>151</v>
      </c>
      <c r="F71" s="39" t="s">
        <v>13</v>
      </c>
      <c r="G71" s="39"/>
    </row>
    <row r="72" spans="2:7" ht="22.5" customHeight="1">
      <c r="B72" s="39" t="s">
        <v>18</v>
      </c>
      <c r="C72" s="47" t="s">
        <v>210</v>
      </c>
      <c r="D72" s="39"/>
      <c r="E72" s="39" t="s">
        <v>151</v>
      </c>
      <c r="F72" s="39" t="s">
        <v>13</v>
      </c>
      <c r="G72" s="39"/>
    </row>
    <row r="73" spans="2:7" ht="22.5" customHeight="1">
      <c r="B73" s="39" t="s">
        <v>18</v>
      </c>
      <c r="C73" s="47" t="s">
        <v>211</v>
      </c>
      <c r="D73" s="39"/>
      <c r="E73" s="39" t="s">
        <v>151</v>
      </c>
      <c r="F73" s="39" t="s">
        <v>13</v>
      </c>
      <c r="G73" s="39"/>
    </row>
    <row r="74" spans="2:7" ht="22.5" customHeight="1">
      <c r="B74" s="39" t="s">
        <v>18</v>
      </c>
      <c r="C74" s="47" t="s">
        <v>212</v>
      </c>
      <c r="D74" s="39"/>
      <c r="E74" s="39" t="s">
        <v>151</v>
      </c>
      <c r="F74" s="39" t="s">
        <v>13</v>
      </c>
      <c r="G74" s="39"/>
    </row>
    <row r="75" spans="2:7" ht="22.5" customHeight="1">
      <c r="B75" s="39" t="s">
        <v>18</v>
      </c>
      <c r="C75" s="47" t="s">
        <v>213</v>
      </c>
      <c r="D75" s="39"/>
      <c r="E75" s="39" t="s">
        <v>151</v>
      </c>
      <c r="F75" s="39" t="s">
        <v>13</v>
      </c>
      <c r="G75" s="39"/>
    </row>
    <row r="76" spans="2:7" ht="22.5" customHeight="1">
      <c r="B76" s="39" t="s">
        <v>18</v>
      </c>
      <c r="C76" s="47" t="s">
        <v>214</v>
      </c>
      <c r="D76" s="39"/>
      <c r="E76" s="39" t="s">
        <v>151</v>
      </c>
      <c r="F76" s="39" t="s">
        <v>13</v>
      </c>
      <c r="G76" s="39"/>
    </row>
    <row r="77" spans="2:7" ht="22.5" customHeight="1">
      <c r="B77" s="39" t="s">
        <v>18</v>
      </c>
      <c r="C77" s="47" t="s">
        <v>215</v>
      </c>
      <c r="D77" s="39"/>
      <c r="E77" s="39" t="s">
        <v>151</v>
      </c>
      <c r="F77" s="39" t="s">
        <v>13</v>
      </c>
      <c r="G77" s="39"/>
    </row>
    <row r="78" spans="2:7" ht="22.5" customHeight="1">
      <c r="B78" s="39" t="s">
        <v>18</v>
      </c>
      <c r="C78" s="47" t="s">
        <v>216</v>
      </c>
      <c r="D78" s="39"/>
      <c r="E78" s="39" t="s">
        <v>151</v>
      </c>
      <c r="F78" s="39" t="s">
        <v>13</v>
      </c>
      <c r="G78" s="39"/>
    </row>
    <row r="79" spans="2:7" ht="22.5" customHeight="1">
      <c r="B79" s="39" t="s">
        <v>18</v>
      </c>
      <c r="C79" s="47" t="s">
        <v>217</v>
      </c>
      <c r="D79" s="39"/>
      <c r="E79" s="39" t="s">
        <v>151</v>
      </c>
      <c r="F79" s="39" t="s">
        <v>13</v>
      </c>
      <c r="G79" s="39"/>
    </row>
    <row r="80" spans="2:7" ht="22.5" customHeight="1">
      <c r="B80" s="39" t="s">
        <v>18</v>
      </c>
      <c r="C80" s="47" t="s">
        <v>218</v>
      </c>
      <c r="D80" s="39"/>
      <c r="E80" s="39" t="s">
        <v>151</v>
      </c>
      <c r="F80" s="42" t="s">
        <v>219</v>
      </c>
      <c r="G80" s="39"/>
    </row>
    <row r="81" spans="2:7" ht="22.5" customHeight="1">
      <c r="B81" s="39" t="s">
        <v>36</v>
      </c>
      <c r="C81" s="41" t="s">
        <v>220</v>
      </c>
      <c r="D81" s="39"/>
      <c r="E81" s="39" t="s">
        <v>151</v>
      </c>
      <c r="F81" s="42" t="s">
        <v>221</v>
      </c>
      <c r="G81" s="39"/>
    </row>
    <row r="82" spans="2:7" ht="22.5" customHeight="1">
      <c r="B82" s="39" t="s">
        <v>36</v>
      </c>
      <c r="C82" s="41"/>
      <c r="D82" s="39"/>
      <c r="E82" s="39" t="s">
        <v>151</v>
      </c>
      <c r="F82" s="42" t="s">
        <v>222</v>
      </c>
      <c r="G82" s="39"/>
    </row>
    <row r="83" spans="2:7" ht="22.5" customHeight="1">
      <c r="B83" s="39" t="s">
        <v>36</v>
      </c>
      <c r="C83" s="41"/>
      <c r="D83" s="39"/>
      <c r="E83" s="39" t="s">
        <v>151</v>
      </c>
      <c r="F83" s="42" t="s">
        <v>223</v>
      </c>
      <c r="G83" s="39"/>
    </row>
    <row r="84" spans="2:7" ht="22.5" customHeight="1">
      <c r="B84" s="39" t="s">
        <v>36</v>
      </c>
      <c r="C84" s="41"/>
      <c r="D84" s="39"/>
      <c r="E84" s="39" t="s">
        <v>151</v>
      </c>
      <c r="F84" s="42" t="s">
        <v>224</v>
      </c>
      <c r="G84" s="39"/>
    </row>
    <row r="85" spans="2:7" ht="22.5" customHeight="1">
      <c r="B85" s="39" t="s">
        <v>36</v>
      </c>
      <c r="C85" s="41"/>
      <c r="D85" s="39"/>
      <c r="E85" s="39" t="s">
        <v>151</v>
      </c>
      <c r="F85" s="42" t="s">
        <v>225</v>
      </c>
      <c r="G85" s="39"/>
    </row>
    <row r="86" spans="2:7" ht="22.5" customHeight="1">
      <c r="B86" s="39" t="s">
        <v>36</v>
      </c>
      <c r="C86" s="41"/>
      <c r="D86" s="39"/>
      <c r="E86" s="39" t="s">
        <v>151</v>
      </c>
      <c r="F86" s="42" t="s">
        <v>226</v>
      </c>
      <c r="G86" s="39"/>
    </row>
    <row r="87" spans="2:7" ht="22.5" customHeight="1">
      <c r="B87" s="39" t="s">
        <v>36</v>
      </c>
      <c r="C87" s="41" t="s">
        <v>227</v>
      </c>
      <c r="D87" s="39"/>
      <c r="E87" s="39" t="s">
        <v>151</v>
      </c>
      <c r="F87" s="42" t="s">
        <v>228</v>
      </c>
      <c r="G87" s="39"/>
    </row>
    <row r="88" spans="2:7" ht="22.5" customHeight="1">
      <c r="B88" s="39" t="s">
        <v>36</v>
      </c>
      <c r="C88" s="41" t="s">
        <v>229</v>
      </c>
      <c r="D88" s="39"/>
      <c r="E88" s="39" t="s">
        <v>151</v>
      </c>
      <c r="F88" s="42" t="s">
        <v>182</v>
      </c>
      <c r="G88" s="39"/>
    </row>
    <row r="89" spans="2:7" ht="22.5" customHeight="1">
      <c r="B89" s="39" t="s">
        <v>36</v>
      </c>
      <c r="C89" s="41" t="s">
        <v>230</v>
      </c>
      <c r="D89" s="39"/>
      <c r="E89" s="39" t="s">
        <v>151</v>
      </c>
      <c r="F89" s="42" t="s">
        <v>231</v>
      </c>
      <c r="G89" s="39"/>
    </row>
    <row r="90" spans="2:7" ht="22.5" customHeight="1">
      <c r="B90" s="39" t="s">
        <v>36</v>
      </c>
      <c r="C90" s="41" t="s">
        <v>232</v>
      </c>
      <c r="D90" s="39"/>
      <c r="E90" s="39" t="s">
        <v>151</v>
      </c>
      <c r="F90" s="42" t="s">
        <v>233</v>
      </c>
      <c r="G90" s="39"/>
    </row>
    <row r="91" spans="2:7" ht="22.5" customHeight="1">
      <c r="B91" s="39" t="s">
        <v>36</v>
      </c>
      <c r="C91" s="41" t="s">
        <v>234</v>
      </c>
      <c r="D91" s="39"/>
      <c r="E91" s="39" t="s">
        <v>151</v>
      </c>
      <c r="F91" s="42" t="s">
        <v>234</v>
      </c>
      <c r="G91" s="39"/>
    </row>
    <row r="92" spans="2:7" ht="22.5" customHeight="1">
      <c r="B92" s="39" t="s">
        <v>36</v>
      </c>
      <c r="C92" s="41" t="s">
        <v>235</v>
      </c>
      <c r="D92" s="39"/>
      <c r="E92" s="39" t="s">
        <v>151</v>
      </c>
      <c r="F92" s="42" t="s">
        <v>235</v>
      </c>
      <c r="G92" s="39"/>
    </row>
    <row r="93" spans="2:7" ht="22.5" customHeight="1">
      <c r="B93" s="39" t="s">
        <v>36</v>
      </c>
      <c r="C93" s="41" t="s">
        <v>236</v>
      </c>
      <c r="D93" s="39"/>
      <c r="E93" s="39" t="s">
        <v>151</v>
      </c>
      <c r="F93" s="42" t="s">
        <v>237</v>
      </c>
      <c r="G93" s="39"/>
    </row>
    <row r="94" spans="2:7" ht="22.5" customHeight="1">
      <c r="B94" s="39" t="s">
        <v>36</v>
      </c>
      <c r="C94" s="41" t="s">
        <v>238</v>
      </c>
      <c r="D94" s="39"/>
      <c r="E94" s="39" t="s">
        <v>151</v>
      </c>
      <c r="F94" s="42" t="s">
        <v>239</v>
      </c>
      <c r="G94" s="39"/>
    </row>
    <row r="95" spans="2:7" ht="22.5" customHeight="1">
      <c r="B95" s="39" t="s">
        <v>36</v>
      </c>
      <c r="C95" s="41" t="s">
        <v>240</v>
      </c>
      <c r="D95" s="39"/>
      <c r="E95" s="39" t="s">
        <v>151</v>
      </c>
      <c r="F95" s="48" t="s">
        <v>241</v>
      </c>
      <c r="G95" s="39"/>
    </row>
    <row r="96" spans="2:7" ht="22.5" customHeight="1">
      <c r="B96" s="39" t="s">
        <v>36</v>
      </c>
      <c r="C96" s="41" t="s">
        <v>242</v>
      </c>
      <c r="D96" s="39"/>
      <c r="E96" s="39" t="s">
        <v>151</v>
      </c>
      <c r="F96" s="42" t="s">
        <v>243</v>
      </c>
      <c r="G96" s="39"/>
    </row>
    <row r="97" spans="2:7" ht="22.5" customHeight="1">
      <c r="B97" s="39" t="s">
        <v>116</v>
      </c>
      <c r="C97" s="41" t="s">
        <v>244</v>
      </c>
      <c r="D97" s="39"/>
      <c r="E97" s="39" t="s">
        <v>151</v>
      </c>
      <c r="F97" s="39" t="s">
        <v>13</v>
      </c>
      <c r="G97" s="39"/>
    </row>
    <row r="98" spans="2:7" ht="22.5" customHeight="1">
      <c r="B98" s="39" t="s">
        <v>116</v>
      </c>
      <c r="C98" s="41" t="s">
        <v>245</v>
      </c>
      <c r="D98" s="39"/>
      <c r="E98" s="39" t="s">
        <v>118</v>
      </c>
      <c r="F98" s="42" t="s">
        <v>245</v>
      </c>
      <c r="G98" s="39"/>
    </row>
    <row r="99" spans="2:7" ht="22.5" customHeight="1">
      <c r="B99" s="39" t="s">
        <v>116</v>
      </c>
      <c r="C99" s="41" t="s">
        <v>246</v>
      </c>
      <c r="D99" s="39"/>
      <c r="E99" s="39" t="s">
        <v>118</v>
      </c>
      <c r="F99" s="42" t="s">
        <v>247</v>
      </c>
      <c r="G99" s="39"/>
    </row>
    <row r="100" spans="2:7" ht="22.5" customHeight="1">
      <c r="B100" s="39" t="s">
        <v>116</v>
      </c>
      <c r="C100" s="41" t="s">
        <v>248</v>
      </c>
      <c r="D100" s="39"/>
      <c r="E100" s="39" t="s">
        <v>118</v>
      </c>
      <c r="F100" s="42" t="s">
        <v>249</v>
      </c>
      <c r="G100" s="39"/>
    </row>
    <row r="101" spans="2:7" ht="22.5" customHeight="1">
      <c r="B101" s="39" t="s">
        <v>116</v>
      </c>
      <c r="C101" s="41" t="s">
        <v>250</v>
      </c>
      <c r="D101" s="39"/>
      <c r="E101" s="39" t="s">
        <v>118</v>
      </c>
      <c r="F101" s="42" t="s">
        <v>251</v>
      </c>
      <c r="G101" s="39"/>
    </row>
    <row r="102" spans="2:7" ht="22.5" customHeight="1">
      <c r="B102" s="39" t="s">
        <v>116</v>
      </c>
      <c r="C102" s="41" t="s">
        <v>252</v>
      </c>
      <c r="D102" s="39"/>
      <c r="E102" s="39" t="s">
        <v>118</v>
      </c>
      <c r="F102" s="42" t="s">
        <v>247</v>
      </c>
      <c r="G102" s="39"/>
    </row>
    <row r="103" spans="2:7" ht="22.5" customHeight="1">
      <c r="B103" s="39" t="s">
        <v>116</v>
      </c>
      <c r="C103" s="41" t="s">
        <v>253</v>
      </c>
      <c r="D103" s="39"/>
      <c r="E103" s="39" t="s">
        <v>118</v>
      </c>
      <c r="F103" s="42" t="s">
        <v>254</v>
      </c>
      <c r="G103" s="39"/>
    </row>
    <row r="104" spans="2:7" ht="22.5" customHeight="1">
      <c r="B104" s="39" t="s">
        <v>116</v>
      </c>
      <c r="C104" s="41" t="s">
        <v>255</v>
      </c>
      <c r="D104" s="39"/>
      <c r="E104" s="39" t="s">
        <v>118</v>
      </c>
      <c r="F104" s="42" t="s">
        <v>256</v>
      </c>
      <c r="G104" s="39"/>
    </row>
    <row r="105" spans="2:7" ht="22.5" customHeight="1">
      <c r="B105" s="39" t="s">
        <v>116</v>
      </c>
      <c r="C105" s="41" t="s">
        <v>257</v>
      </c>
      <c r="D105" s="39"/>
      <c r="E105" s="39" t="s">
        <v>118</v>
      </c>
      <c r="F105" s="42" t="s">
        <v>256</v>
      </c>
      <c r="G105" s="39"/>
    </row>
    <row r="106" spans="2:7" ht="22.5" customHeight="1">
      <c r="B106" s="39" t="s">
        <v>18</v>
      </c>
      <c r="C106" s="47" t="s">
        <v>258</v>
      </c>
      <c r="D106" s="39"/>
      <c r="E106" s="39" t="s">
        <v>118</v>
      </c>
      <c r="F106" s="42" t="s">
        <v>258</v>
      </c>
      <c r="G106" s="39"/>
    </row>
    <row r="107" spans="2:7" ht="22.5" customHeight="1">
      <c r="B107" s="39" t="s">
        <v>18</v>
      </c>
      <c r="C107" s="47" t="s">
        <v>259</v>
      </c>
      <c r="D107" s="39"/>
      <c r="E107" s="39" t="s">
        <v>118</v>
      </c>
      <c r="F107" s="42" t="s">
        <v>260</v>
      </c>
      <c r="G107" s="39"/>
    </row>
    <row r="108" spans="2:7" ht="22.5" customHeight="1">
      <c r="B108" s="39" t="s">
        <v>18</v>
      </c>
      <c r="C108" s="47" t="s">
        <v>261</v>
      </c>
      <c r="D108" s="39"/>
      <c r="E108" s="39" t="s">
        <v>118</v>
      </c>
      <c r="F108" s="42" t="s">
        <v>262</v>
      </c>
      <c r="G108" s="39"/>
    </row>
    <row r="109" spans="2:7" ht="22.5" customHeight="1">
      <c r="B109" s="39" t="s">
        <v>18</v>
      </c>
      <c r="C109" s="47" t="s">
        <v>263</v>
      </c>
      <c r="D109" s="39"/>
      <c r="E109" s="39" t="s">
        <v>118</v>
      </c>
      <c r="F109" s="42" t="s">
        <v>264</v>
      </c>
      <c r="G109" s="39"/>
    </row>
    <row r="110" spans="2:7" ht="22.5" customHeight="1">
      <c r="B110" s="39" t="s">
        <v>18</v>
      </c>
      <c r="C110" s="47" t="s">
        <v>265</v>
      </c>
      <c r="D110" s="39"/>
      <c r="E110" s="39" t="s">
        <v>118</v>
      </c>
      <c r="F110" s="42" t="s">
        <v>266</v>
      </c>
      <c r="G110" s="39"/>
    </row>
    <row r="111" spans="2:7" ht="22.5" customHeight="1">
      <c r="B111" s="39" t="s">
        <v>126</v>
      </c>
      <c r="C111" s="41" t="s">
        <v>267</v>
      </c>
      <c r="D111" s="39"/>
      <c r="E111" s="39" t="s">
        <v>118</v>
      </c>
      <c r="F111" s="42" t="s">
        <v>268</v>
      </c>
      <c r="G111" s="39"/>
    </row>
    <row r="112" spans="2:7" ht="22.5" customHeight="1">
      <c r="B112" s="39" t="s">
        <v>18</v>
      </c>
      <c r="C112" s="47" t="s">
        <v>269</v>
      </c>
      <c r="D112" s="39"/>
      <c r="E112" s="39" t="s">
        <v>118</v>
      </c>
      <c r="F112" s="42" t="s">
        <v>270</v>
      </c>
      <c r="G112" s="39"/>
    </row>
    <row r="113" spans="2:7" ht="22.5" customHeight="1">
      <c r="B113" s="39" t="s">
        <v>36</v>
      </c>
      <c r="C113" s="41" t="s">
        <v>271</v>
      </c>
      <c r="D113" s="39"/>
      <c r="E113" s="39" t="s">
        <v>118</v>
      </c>
      <c r="F113" s="42" t="s">
        <v>271</v>
      </c>
      <c r="G113" s="39"/>
    </row>
    <row r="114" spans="2:7" ht="22.5" customHeight="1">
      <c r="B114" s="39" t="s">
        <v>36</v>
      </c>
      <c r="C114" s="41" t="s">
        <v>272</v>
      </c>
      <c r="D114" s="39"/>
      <c r="E114" s="39" t="s">
        <v>118</v>
      </c>
      <c r="F114" s="42" t="s">
        <v>273</v>
      </c>
      <c r="G114" s="39"/>
    </row>
    <row r="115" spans="2:7" ht="22.5" customHeight="1">
      <c r="B115" s="39" t="s">
        <v>116</v>
      </c>
      <c r="C115" s="41" t="s">
        <v>274</v>
      </c>
      <c r="D115" s="39"/>
      <c r="E115" s="39" t="s">
        <v>118</v>
      </c>
      <c r="F115" s="42" t="s">
        <v>275</v>
      </c>
      <c r="G115" s="39"/>
    </row>
    <row r="116" spans="2:7" ht="22.5" customHeight="1">
      <c r="B116" s="39" t="s">
        <v>36</v>
      </c>
      <c r="C116" s="41" t="s">
        <v>276</v>
      </c>
      <c r="D116" s="39"/>
      <c r="E116" s="39" t="s">
        <v>118</v>
      </c>
      <c r="F116" s="42" t="s">
        <v>277</v>
      </c>
      <c r="G116" s="39"/>
    </row>
    <row r="117" spans="2:7" ht="22.5" customHeight="1">
      <c r="B117" s="39" t="s">
        <v>116</v>
      </c>
      <c r="C117" s="41" t="s">
        <v>278</v>
      </c>
      <c r="D117" s="39"/>
      <c r="E117" s="39" t="s">
        <v>118</v>
      </c>
      <c r="F117" s="42" t="s">
        <v>279</v>
      </c>
      <c r="G117" s="39"/>
    </row>
    <row r="118" spans="2:7" ht="22.5" customHeight="1">
      <c r="B118" s="39" t="s">
        <v>116</v>
      </c>
      <c r="C118" s="41" t="s">
        <v>280</v>
      </c>
      <c r="D118" s="39"/>
      <c r="E118" s="39" t="s">
        <v>118</v>
      </c>
      <c r="F118" s="42" t="s">
        <v>281</v>
      </c>
      <c r="G118" s="39"/>
    </row>
    <row r="119" spans="2:7" ht="22.5" customHeight="1">
      <c r="B119" s="39" t="s">
        <v>18</v>
      </c>
      <c r="C119" s="47" t="s">
        <v>282</v>
      </c>
      <c r="D119" s="39"/>
      <c r="E119" s="49" t="s">
        <v>118</v>
      </c>
      <c r="F119" s="39"/>
      <c r="G119" s="39"/>
    </row>
    <row r="120" spans="2:7" ht="22.5" customHeight="1">
      <c r="B120" s="39" t="s">
        <v>18</v>
      </c>
      <c r="C120" s="47" t="s">
        <v>283</v>
      </c>
      <c r="D120" s="39"/>
      <c r="E120" s="49" t="s">
        <v>118</v>
      </c>
      <c r="F120" s="39"/>
      <c r="G120" s="39"/>
    </row>
    <row r="121" spans="2:7" ht="22.5" customHeight="1">
      <c r="B121" s="39" t="s">
        <v>18</v>
      </c>
      <c r="C121" s="47" t="s">
        <v>284</v>
      </c>
      <c r="D121" s="39"/>
      <c r="E121" s="49" t="s">
        <v>118</v>
      </c>
      <c r="F121" s="39"/>
      <c r="G121" s="39"/>
    </row>
    <row r="122" spans="2:7" ht="22.5" customHeight="1">
      <c r="B122" s="39" t="s">
        <v>18</v>
      </c>
      <c r="C122" s="47" t="s">
        <v>285</v>
      </c>
      <c r="D122" s="39"/>
      <c r="E122" s="49" t="s">
        <v>118</v>
      </c>
      <c r="F122" s="39"/>
      <c r="G122" s="39"/>
    </row>
    <row r="123" spans="2:7" ht="22.5" customHeight="1">
      <c r="B123" s="39" t="s">
        <v>18</v>
      </c>
      <c r="C123" s="47" t="s">
        <v>286</v>
      </c>
      <c r="D123" s="39"/>
      <c r="E123" s="49" t="s">
        <v>118</v>
      </c>
      <c r="F123" s="39"/>
      <c r="G123" s="39"/>
    </row>
    <row r="124" spans="2:7" ht="22.5" customHeight="1">
      <c r="B124" s="39" t="s">
        <v>18</v>
      </c>
      <c r="C124" s="47" t="s">
        <v>287</v>
      </c>
      <c r="D124" s="39"/>
      <c r="E124" s="49" t="s">
        <v>118</v>
      </c>
      <c r="F124" s="39"/>
      <c r="G124" s="39"/>
    </row>
    <row r="125" spans="2:7" ht="22.5" customHeight="1">
      <c r="B125" s="39" t="s">
        <v>18</v>
      </c>
      <c r="C125" s="47" t="s">
        <v>288</v>
      </c>
      <c r="D125" s="39"/>
      <c r="E125" s="49" t="s">
        <v>118</v>
      </c>
      <c r="F125" s="39"/>
      <c r="G125" s="39"/>
    </row>
    <row r="126" spans="2:7" ht="22.5" customHeight="1">
      <c r="B126" s="39" t="s">
        <v>18</v>
      </c>
      <c r="C126" s="47" t="s">
        <v>289</v>
      </c>
      <c r="D126" s="39"/>
      <c r="E126" s="49" t="s">
        <v>118</v>
      </c>
      <c r="F126" s="39"/>
      <c r="G126" s="39"/>
    </row>
    <row r="127" spans="2:7" ht="22.5" customHeight="1">
      <c r="B127" s="39" t="s">
        <v>18</v>
      </c>
      <c r="C127" s="47" t="s">
        <v>282</v>
      </c>
      <c r="D127" s="39"/>
      <c r="E127" s="49" t="s">
        <v>118</v>
      </c>
      <c r="F127" s="39"/>
      <c r="G127" s="39"/>
    </row>
    <row r="128" spans="2:7" ht="22.5" customHeight="1">
      <c r="B128" s="39" t="s">
        <v>18</v>
      </c>
      <c r="C128" s="47" t="s">
        <v>283</v>
      </c>
      <c r="D128" s="39"/>
      <c r="E128" s="49" t="s">
        <v>118</v>
      </c>
      <c r="F128" s="39"/>
      <c r="G128" s="39"/>
    </row>
    <row r="129" spans="2:7" ht="22.5" customHeight="1">
      <c r="B129" s="39" t="s">
        <v>18</v>
      </c>
      <c r="C129" s="47" t="s">
        <v>284</v>
      </c>
      <c r="D129" s="39"/>
      <c r="E129" s="49" t="s">
        <v>118</v>
      </c>
      <c r="F129" s="39"/>
      <c r="G129" s="39"/>
    </row>
    <row r="130" spans="2:7" ht="22.5" customHeight="1">
      <c r="B130" s="39" t="s">
        <v>18</v>
      </c>
      <c r="C130" s="47" t="s">
        <v>285</v>
      </c>
      <c r="D130" s="39"/>
      <c r="E130" s="49" t="s">
        <v>118</v>
      </c>
      <c r="F130" s="39"/>
      <c r="G130" s="39"/>
    </row>
    <row r="131" spans="2:7" ht="22.5" customHeight="1">
      <c r="B131" s="39" t="s">
        <v>18</v>
      </c>
      <c r="C131" s="47" t="s">
        <v>290</v>
      </c>
      <c r="D131" s="39"/>
      <c r="E131" s="49" t="s">
        <v>118</v>
      </c>
      <c r="F131" s="39"/>
      <c r="G131" s="39"/>
    </row>
    <row r="132" spans="2:7" ht="22.5" customHeight="1">
      <c r="B132" s="39" t="s">
        <v>18</v>
      </c>
      <c r="C132" s="47" t="s">
        <v>291</v>
      </c>
      <c r="D132" s="39"/>
      <c r="E132" s="49" t="s">
        <v>118</v>
      </c>
      <c r="F132" s="39"/>
      <c r="G132" s="39"/>
    </row>
    <row r="133" spans="2:7" ht="22.5" customHeight="1">
      <c r="B133" s="39" t="s">
        <v>18</v>
      </c>
      <c r="C133" s="47" t="s">
        <v>292</v>
      </c>
      <c r="D133" s="39"/>
      <c r="E133" s="49" t="s">
        <v>118</v>
      </c>
      <c r="F133" s="39"/>
      <c r="G133" s="39"/>
    </row>
    <row r="134" spans="2:7" ht="22.5" customHeight="1">
      <c r="B134" s="39" t="s">
        <v>18</v>
      </c>
      <c r="C134" s="47" t="s">
        <v>293</v>
      </c>
      <c r="D134" s="39"/>
      <c r="E134" s="49" t="s">
        <v>118</v>
      </c>
      <c r="F134" s="39"/>
      <c r="G134" s="39"/>
    </row>
    <row r="135" spans="2:7" ht="22.5" customHeight="1">
      <c r="B135" s="39" t="s">
        <v>18</v>
      </c>
      <c r="C135" s="47" t="s">
        <v>294</v>
      </c>
      <c r="D135" s="39"/>
      <c r="E135" s="49" t="s">
        <v>118</v>
      </c>
      <c r="F135" s="39"/>
      <c r="G135" s="39"/>
    </row>
    <row r="136" spans="2:7" ht="22.5" customHeight="1">
      <c r="B136" s="39" t="s">
        <v>18</v>
      </c>
      <c r="C136" s="47" t="s">
        <v>295</v>
      </c>
      <c r="D136" s="39"/>
      <c r="E136" s="49" t="s">
        <v>118</v>
      </c>
      <c r="F136" s="39"/>
      <c r="G136" s="39"/>
    </row>
    <row r="137" spans="2:7" ht="22.5" customHeight="1">
      <c r="B137" s="39" t="s">
        <v>116</v>
      </c>
      <c r="C137" s="41" t="s">
        <v>296</v>
      </c>
      <c r="D137" s="39"/>
      <c r="E137" s="39" t="s">
        <v>118</v>
      </c>
      <c r="F137" s="42" t="s">
        <v>296</v>
      </c>
      <c r="G137" s="39"/>
    </row>
    <row r="138" spans="2:7" ht="22.5" customHeight="1">
      <c r="B138" s="39" t="s">
        <v>116</v>
      </c>
      <c r="C138" s="41" t="s">
        <v>278</v>
      </c>
      <c r="D138" s="39"/>
      <c r="E138" s="39" t="s">
        <v>118</v>
      </c>
      <c r="F138" s="42" t="s">
        <v>297</v>
      </c>
      <c r="G138" s="39"/>
    </row>
    <row r="139" spans="2:7" ht="22.5" customHeight="1">
      <c r="B139" s="39" t="s">
        <v>116</v>
      </c>
      <c r="C139" s="41" t="s">
        <v>298</v>
      </c>
      <c r="D139" s="39"/>
      <c r="E139" s="39" t="s">
        <v>118</v>
      </c>
      <c r="F139" s="42" t="s">
        <v>299</v>
      </c>
      <c r="G139" s="39"/>
    </row>
    <row r="140" spans="2:7" ht="22.5" customHeight="1">
      <c r="B140" s="39" t="s">
        <v>116</v>
      </c>
      <c r="C140" s="41" t="s">
        <v>300</v>
      </c>
      <c r="D140" s="39"/>
      <c r="E140" s="39" t="s">
        <v>118</v>
      </c>
      <c r="F140" s="42" t="s">
        <v>301</v>
      </c>
      <c r="G140" s="39"/>
    </row>
    <row r="141" spans="2:7" ht="22.5" customHeight="1">
      <c r="B141" s="39" t="s">
        <v>126</v>
      </c>
      <c r="C141" s="41" t="s">
        <v>302</v>
      </c>
      <c r="D141" s="39"/>
      <c r="E141" s="39" t="s">
        <v>118</v>
      </c>
      <c r="F141" s="42" t="s">
        <v>303</v>
      </c>
      <c r="G141" s="39"/>
    </row>
    <row r="142" spans="2:7" ht="22.5" customHeight="1">
      <c r="B142" s="39" t="s">
        <v>18</v>
      </c>
      <c r="C142" s="47" t="s">
        <v>304</v>
      </c>
      <c r="D142" s="39"/>
      <c r="E142" s="39" t="s">
        <v>118</v>
      </c>
      <c r="F142" s="42" t="s">
        <v>305</v>
      </c>
      <c r="G142" s="39"/>
    </row>
    <row r="143" spans="2:7" ht="22.5" customHeight="1">
      <c r="B143" s="39" t="s">
        <v>18</v>
      </c>
      <c r="C143" s="47" t="s">
        <v>306</v>
      </c>
      <c r="D143" s="39"/>
      <c r="E143" s="39" t="s">
        <v>118</v>
      </c>
      <c r="F143" s="42" t="s">
        <v>307</v>
      </c>
      <c r="G143" s="39"/>
    </row>
    <row r="144" spans="2:7" ht="22.5" customHeight="1">
      <c r="B144" s="39" t="s">
        <v>18</v>
      </c>
      <c r="C144" s="47" t="s">
        <v>308</v>
      </c>
      <c r="D144" s="39"/>
      <c r="E144" s="39" t="s">
        <v>118</v>
      </c>
      <c r="F144" s="42" t="s">
        <v>309</v>
      </c>
      <c r="G144" s="39"/>
    </row>
    <row r="145" spans="2:7" ht="22.5" customHeight="1">
      <c r="B145" s="39" t="s">
        <v>18</v>
      </c>
      <c r="C145" s="47" t="s">
        <v>310</v>
      </c>
      <c r="D145" s="39"/>
      <c r="E145" s="39" t="s">
        <v>118</v>
      </c>
      <c r="F145" s="42" t="s">
        <v>311</v>
      </c>
      <c r="G145" s="39"/>
    </row>
    <row r="146" spans="2:7" ht="22.5" customHeight="1">
      <c r="B146" s="39" t="s">
        <v>18</v>
      </c>
      <c r="C146" s="47" t="s">
        <v>312</v>
      </c>
      <c r="D146" s="39"/>
      <c r="E146" s="39" t="s">
        <v>118</v>
      </c>
      <c r="F146" s="42" t="s">
        <v>266</v>
      </c>
      <c r="G146" s="39"/>
    </row>
    <row r="147" spans="2:7" ht="22.5" customHeight="1">
      <c r="B147" s="39" t="s">
        <v>18</v>
      </c>
      <c r="C147" s="47" t="s">
        <v>313</v>
      </c>
      <c r="D147" s="39"/>
      <c r="E147" s="39" t="s">
        <v>118</v>
      </c>
      <c r="F147" s="42" t="s">
        <v>314</v>
      </c>
      <c r="G147" s="39"/>
    </row>
    <row r="148" spans="2:7" ht="22.5" customHeight="1">
      <c r="B148" s="39" t="s">
        <v>18</v>
      </c>
      <c r="C148" s="47" t="s">
        <v>315</v>
      </c>
      <c r="D148" s="39"/>
      <c r="E148" s="39" t="s">
        <v>118</v>
      </c>
      <c r="F148" s="42" t="s">
        <v>316</v>
      </c>
      <c r="G148" s="39"/>
    </row>
    <row r="149" spans="2:7" ht="22.5" customHeight="1">
      <c r="B149" s="39" t="s">
        <v>18</v>
      </c>
      <c r="C149" s="47" t="s">
        <v>317</v>
      </c>
      <c r="D149" s="39"/>
      <c r="E149" s="39" t="s">
        <v>118</v>
      </c>
      <c r="F149" s="42" t="s">
        <v>299</v>
      </c>
      <c r="G149" s="39"/>
    </row>
    <row r="150" spans="2:7" ht="22.5" customHeight="1">
      <c r="B150" s="39" t="s">
        <v>36</v>
      </c>
      <c r="C150" s="41"/>
      <c r="D150" s="39"/>
      <c r="E150" s="39" t="s">
        <v>118</v>
      </c>
      <c r="F150" s="42" t="s">
        <v>318</v>
      </c>
      <c r="G150" s="39"/>
    </row>
    <row r="151" spans="2:7" ht="22.5" customHeight="1">
      <c r="B151" s="39" t="s">
        <v>36</v>
      </c>
      <c r="C151" s="41" t="s">
        <v>319</v>
      </c>
      <c r="D151" s="39"/>
      <c r="E151" s="39" t="s">
        <v>118</v>
      </c>
      <c r="F151" s="42" t="s">
        <v>320</v>
      </c>
      <c r="G151" s="39"/>
    </row>
    <row r="152" spans="2:7" ht="22.5" customHeight="1">
      <c r="B152" s="39" t="s">
        <v>36</v>
      </c>
      <c r="C152" s="41"/>
      <c r="D152" s="39"/>
      <c r="E152" s="39" t="s">
        <v>118</v>
      </c>
      <c r="F152" s="42" t="s">
        <v>321</v>
      </c>
      <c r="G152" s="39"/>
    </row>
    <row r="153" spans="2:7" ht="22.5" customHeight="1">
      <c r="B153" s="39" t="s">
        <v>36</v>
      </c>
      <c r="C153" s="41"/>
      <c r="D153" s="39"/>
      <c r="E153" s="39" t="s">
        <v>118</v>
      </c>
      <c r="F153" s="42" t="s">
        <v>322</v>
      </c>
      <c r="G153" s="39"/>
    </row>
    <row r="154" spans="2:7" ht="22.5" customHeight="1">
      <c r="B154" s="39" t="s">
        <v>36</v>
      </c>
      <c r="C154" s="41"/>
      <c r="D154" s="39"/>
      <c r="E154" s="39" t="s">
        <v>118</v>
      </c>
      <c r="F154" s="42" t="s">
        <v>323</v>
      </c>
      <c r="G154" s="39"/>
    </row>
    <row r="155" spans="2:7" ht="22.5" customHeight="1">
      <c r="B155" s="39" t="s">
        <v>36</v>
      </c>
      <c r="C155" s="41"/>
      <c r="D155" s="39"/>
      <c r="E155" s="39" t="s">
        <v>118</v>
      </c>
      <c r="F155" s="42" t="s">
        <v>324</v>
      </c>
      <c r="G155" s="39"/>
    </row>
    <row r="156" spans="2:7" ht="22.5" customHeight="1">
      <c r="B156" s="39" t="s">
        <v>36</v>
      </c>
      <c r="C156" s="41"/>
      <c r="D156" s="39"/>
      <c r="E156" s="39" t="s">
        <v>118</v>
      </c>
      <c r="F156" s="42" t="s">
        <v>325</v>
      </c>
      <c r="G156" s="39"/>
    </row>
    <row r="157" spans="2:7" ht="22.5" customHeight="1">
      <c r="B157" s="39" t="s">
        <v>36</v>
      </c>
      <c r="C157" s="41"/>
      <c r="D157" s="39"/>
      <c r="E157" s="39" t="s">
        <v>118</v>
      </c>
      <c r="F157" s="42" t="s">
        <v>326</v>
      </c>
      <c r="G157" s="39"/>
    </row>
    <row r="158" spans="2:7" ht="22.5" customHeight="1">
      <c r="B158" s="39" t="s">
        <v>36</v>
      </c>
      <c r="C158" s="41"/>
      <c r="D158" s="39"/>
      <c r="E158" s="39" t="s">
        <v>118</v>
      </c>
      <c r="F158" s="42" t="s">
        <v>327</v>
      </c>
      <c r="G158" s="39"/>
    </row>
    <row r="159" spans="2:7" ht="22.5" customHeight="1">
      <c r="B159" s="39" t="s">
        <v>36</v>
      </c>
      <c r="C159" s="41" t="s">
        <v>328</v>
      </c>
      <c r="D159" s="39"/>
      <c r="E159" s="39" t="s">
        <v>118</v>
      </c>
      <c r="F159" s="42" t="s">
        <v>329</v>
      </c>
      <c r="G159" s="39"/>
    </row>
    <row r="160" spans="2:7" ht="22.5" customHeight="1">
      <c r="B160" s="39" t="s">
        <v>36</v>
      </c>
      <c r="C160" s="41"/>
      <c r="D160" s="39"/>
      <c r="E160" s="39" t="s">
        <v>118</v>
      </c>
      <c r="F160" s="42" t="s">
        <v>330</v>
      </c>
      <c r="G160" s="39"/>
    </row>
    <row r="161" spans="1:19" ht="22.5" customHeight="1">
      <c r="B161" s="39" t="s">
        <v>36</v>
      </c>
      <c r="C161" s="41"/>
      <c r="D161" s="39"/>
      <c r="E161" s="39" t="s">
        <v>118</v>
      </c>
      <c r="F161" s="42" t="s">
        <v>331</v>
      </c>
      <c r="G161" s="39"/>
    </row>
    <row r="162" spans="1:19" ht="22.5" customHeight="1">
      <c r="B162" s="39" t="s">
        <v>36</v>
      </c>
      <c r="C162" s="41"/>
      <c r="D162" s="39"/>
      <c r="E162" s="39" t="s">
        <v>118</v>
      </c>
      <c r="F162" s="42" t="s">
        <v>332</v>
      </c>
      <c r="G162" s="39"/>
    </row>
    <row r="163" spans="1:19" ht="22.5" customHeight="1">
      <c r="A163" s="50"/>
      <c r="B163" s="51" t="s">
        <v>36</v>
      </c>
      <c r="C163" s="52"/>
      <c r="D163" s="53"/>
      <c r="E163" s="53" t="s">
        <v>118</v>
      </c>
      <c r="F163" s="54" t="s">
        <v>333</v>
      </c>
      <c r="G163" s="55"/>
      <c r="H163" s="50"/>
      <c r="I163" s="50"/>
      <c r="J163" s="50"/>
      <c r="K163" s="50"/>
      <c r="L163" s="50"/>
      <c r="M163" s="50"/>
      <c r="N163" s="50"/>
      <c r="O163" s="50"/>
      <c r="P163" s="50"/>
      <c r="Q163" s="50"/>
      <c r="R163" s="50"/>
      <c r="S163" s="50"/>
    </row>
    <row r="164" spans="1:19" ht="22.5" customHeight="1">
      <c r="A164" s="50"/>
      <c r="B164" s="51" t="s">
        <v>36</v>
      </c>
      <c r="C164" s="52"/>
      <c r="D164" s="53"/>
      <c r="E164" s="53" t="s">
        <v>118</v>
      </c>
      <c r="F164" s="54" t="s">
        <v>334</v>
      </c>
      <c r="G164" s="55"/>
      <c r="H164" s="50"/>
      <c r="I164" s="50"/>
      <c r="J164" s="50"/>
      <c r="K164" s="50"/>
      <c r="L164" s="50"/>
      <c r="M164" s="50"/>
      <c r="N164" s="50"/>
      <c r="O164" s="50"/>
      <c r="P164" s="50"/>
      <c r="Q164" s="50"/>
      <c r="R164" s="50"/>
      <c r="S164" s="50"/>
    </row>
    <row r="165" spans="1:19" ht="22.5" customHeight="1">
      <c r="B165" s="56" t="s">
        <v>36</v>
      </c>
      <c r="C165" s="57" t="s">
        <v>335</v>
      </c>
      <c r="D165" s="58"/>
      <c r="E165" s="59" t="s">
        <v>151</v>
      </c>
      <c r="F165" s="58"/>
      <c r="G165" s="58"/>
    </row>
    <row r="166" spans="1:19" ht="22.5" customHeight="1">
      <c r="B166" s="56" t="s">
        <v>36</v>
      </c>
      <c r="C166" s="57" t="s">
        <v>336</v>
      </c>
      <c r="D166" s="58"/>
      <c r="E166" s="59" t="s">
        <v>151</v>
      </c>
      <c r="F166" s="58"/>
      <c r="G166" s="58"/>
    </row>
    <row r="167" spans="1:19" ht="22.5" customHeight="1">
      <c r="B167" s="39" t="s">
        <v>36</v>
      </c>
      <c r="C167" s="41" t="s">
        <v>337</v>
      </c>
      <c r="D167" s="39"/>
      <c r="E167" s="39" t="s">
        <v>118</v>
      </c>
      <c r="F167" s="42" t="s">
        <v>338</v>
      </c>
      <c r="G167" s="39"/>
    </row>
    <row r="168" spans="1:19" ht="22.5" customHeight="1">
      <c r="B168" s="39" t="s">
        <v>36</v>
      </c>
      <c r="C168" s="41" t="s">
        <v>339</v>
      </c>
      <c r="D168" s="39"/>
      <c r="E168" s="39" t="s">
        <v>118</v>
      </c>
      <c r="F168" s="42" t="s">
        <v>340</v>
      </c>
      <c r="G168" s="39"/>
    </row>
    <row r="169" spans="1:19" ht="22.5" customHeight="1">
      <c r="B169" s="39" t="s">
        <v>36</v>
      </c>
      <c r="C169" s="41" t="s">
        <v>341</v>
      </c>
      <c r="D169" s="39"/>
      <c r="E169" s="39" t="s">
        <v>118</v>
      </c>
      <c r="F169" s="42" t="s">
        <v>342</v>
      </c>
      <c r="G169" s="39"/>
    </row>
    <row r="170" spans="1:19" ht="22.5" customHeight="1">
      <c r="B170" s="39" t="s">
        <v>36</v>
      </c>
      <c r="C170" s="41" t="s">
        <v>343</v>
      </c>
      <c r="D170" s="39"/>
      <c r="E170" s="39" t="s">
        <v>118</v>
      </c>
      <c r="F170" s="42" t="s">
        <v>343</v>
      </c>
      <c r="G170" s="39"/>
    </row>
    <row r="171" spans="1:19" ht="22.5" customHeight="1">
      <c r="B171" s="39" t="s">
        <v>36</v>
      </c>
      <c r="C171" s="41" t="s">
        <v>344</v>
      </c>
      <c r="D171" s="39"/>
      <c r="E171" s="39" t="s">
        <v>118</v>
      </c>
      <c r="F171" s="42" t="s">
        <v>345</v>
      </c>
      <c r="G171" s="39"/>
    </row>
    <row r="172" spans="1:19" ht="22.5" customHeight="1">
      <c r="B172" s="39" t="s">
        <v>116</v>
      </c>
      <c r="C172" s="41" t="s">
        <v>346</v>
      </c>
      <c r="D172" s="39"/>
      <c r="E172" s="39" t="s">
        <v>151</v>
      </c>
      <c r="F172" s="39"/>
      <c r="G172" s="39"/>
    </row>
    <row r="173" spans="1:19" ht="22.5" customHeight="1">
      <c r="B173" s="39" t="s">
        <v>116</v>
      </c>
      <c r="C173" s="41" t="s">
        <v>347</v>
      </c>
      <c r="D173" s="39"/>
      <c r="E173" s="39" t="s">
        <v>151</v>
      </c>
      <c r="F173" s="39"/>
      <c r="G173" s="39"/>
    </row>
    <row r="174" spans="1:19" ht="22.5" customHeight="1">
      <c r="B174" s="41"/>
      <c r="C174" s="41"/>
      <c r="D174" s="39"/>
      <c r="E174" s="39"/>
      <c r="F174" s="39"/>
      <c r="G174" s="39"/>
    </row>
    <row r="175" spans="1:19" ht="22.5" customHeight="1">
      <c r="B175" s="41"/>
      <c r="C175" s="41"/>
      <c r="D175" s="39"/>
      <c r="E175" s="39"/>
      <c r="F175" s="39"/>
      <c r="G175" s="39"/>
    </row>
    <row r="176" spans="1:19" ht="22.5" customHeight="1">
      <c r="B176" s="41"/>
      <c r="C176" s="41"/>
      <c r="D176" s="39"/>
      <c r="E176" s="39"/>
      <c r="F176" s="39"/>
      <c r="G176" s="39"/>
    </row>
    <row r="177" spans="2:7" ht="22.5" customHeight="1">
      <c r="B177" s="41"/>
      <c r="C177" s="41"/>
      <c r="D177" s="39"/>
      <c r="E177" s="39"/>
      <c r="F177" s="39"/>
      <c r="G177" s="39"/>
    </row>
    <row r="178" spans="2:7" ht="22.5" customHeight="1">
      <c r="B178" s="41"/>
      <c r="C178" s="41"/>
      <c r="D178" s="39"/>
      <c r="E178" s="39"/>
      <c r="F178" s="39"/>
      <c r="G178" s="39"/>
    </row>
    <row r="179" spans="2:7" ht="22.5" customHeight="1">
      <c r="B179" s="41"/>
      <c r="C179" s="41"/>
      <c r="D179" s="39"/>
      <c r="E179" s="39"/>
      <c r="F179" s="39"/>
      <c r="G179" s="39"/>
    </row>
    <row r="180" spans="2:7" ht="22.5" customHeight="1">
      <c r="B180" s="41"/>
      <c r="C180" s="41"/>
      <c r="D180" s="39"/>
      <c r="E180" s="39"/>
      <c r="F180" s="39"/>
      <c r="G180" s="39"/>
    </row>
    <row r="181" spans="2:7" ht="22.5" customHeight="1">
      <c r="B181" s="41"/>
      <c r="C181" s="41"/>
      <c r="D181" s="39"/>
      <c r="E181" s="39"/>
      <c r="F181" s="39"/>
      <c r="G181" s="39"/>
    </row>
    <row r="182" spans="2:7" ht="22.5" customHeight="1">
      <c r="B182" s="41"/>
      <c r="C182" s="41"/>
      <c r="D182" s="39"/>
      <c r="E182" s="39"/>
      <c r="F182" s="39"/>
      <c r="G182" s="39"/>
    </row>
    <row r="183" spans="2:7" ht="22.5" customHeight="1">
      <c r="B183" s="41"/>
      <c r="C183" s="41"/>
      <c r="D183" s="39"/>
      <c r="E183" s="39"/>
      <c r="F183" s="39"/>
      <c r="G183" s="39"/>
    </row>
    <row r="184" spans="2:7" ht="22.5" customHeight="1">
      <c r="B184" s="41"/>
      <c r="C184" s="41"/>
      <c r="D184" s="39"/>
      <c r="E184" s="39"/>
      <c r="F184" s="39"/>
      <c r="G184" s="39"/>
    </row>
    <row r="185" spans="2:7" ht="22.5" customHeight="1">
      <c r="B185" s="41"/>
      <c r="C185" s="41"/>
      <c r="D185" s="39"/>
      <c r="E185" s="39"/>
      <c r="F185" s="39"/>
      <c r="G185" s="39"/>
    </row>
    <row r="186" spans="2:7" ht="22.5" customHeight="1">
      <c r="B186" s="41"/>
      <c r="C186" s="41"/>
      <c r="D186" s="39"/>
      <c r="E186" s="39"/>
      <c r="F186" s="39"/>
      <c r="G186" s="39"/>
    </row>
    <row r="187" spans="2:7" ht="22.5" customHeight="1">
      <c r="B187" s="41"/>
      <c r="C187" s="41"/>
      <c r="D187" s="39"/>
      <c r="E187" s="39"/>
      <c r="F187" s="39"/>
      <c r="G187" s="39"/>
    </row>
    <row r="188" spans="2:7" ht="22.5" customHeight="1">
      <c r="B188" s="41"/>
      <c r="C188" s="41"/>
      <c r="D188" s="39"/>
      <c r="E188" s="39"/>
      <c r="F188" s="39"/>
      <c r="G188" s="39"/>
    </row>
    <row r="189" spans="2:7" ht="22.5" customHeight="1">
      <c r="B189" s="41"/>
      <c r="C189" s="41"/>
      <c r="D189" s="39"/>
      <c r="E189" s="39"/>
      <c r="F189" s="39"/>
      <c r="G189" s="39"/>
    </row>
    <row r="190" spans="2:7" ht="22.5" customHeight="1">
      <c r="B190" s="41"/>
      <c r="C190" s="41"/>
      <c r="D190" s="39"/>
      <c r="E190" s="39"/>
      <c r="F190" s="39"/>
      <c r="G190" s="39"/>
    </row>
    <row r="191" spans="2:7" ht="22.5" customHeight="1">
      <c r="B191" s="41"/>
      <c r="C191" s="41"/>
      <c r="D191" s="39"/>
      <c r="E191" s="39"/>
      <c r="F191" s="39"/>
      <c r="G191" s="39"/>
    </row>
    <row r="192" spans="2:7" ht="22.5" customHeight="1">
      <c r="B192" s="41"/>
      <c r="C192" s="41"/>
      <c r="D192" s="39"/>
      <c r="E192" s="39"/>
      <c r="F192" s="39"/>
      <c r="G192" s="39"/>
    </row>
    <row r="193" spans="2:7" ht="22.5" customHeight="1">
      <c r="B193" s="41"/>
      <c r="C193" s="41"/>
      <c r="D193" s="39"/>
      <c r="E193" s="39"/>
      <c r="F193" s="39"/>
      <c r="G193" s="39"/>
    </row>
    <row r="194" spans="2:7" ht="22.5" customHeight="1">
      <c r="B194" s="41"/>
      <c r="C194" s="41"/>
      <c r="D194" s="39"/>
      <c r="E194" s="39"/>
      <c r="F194" s="39"/>
      <c r="G194" s="39"/>
    </row>
    <row r="195" spans="2:7" ht="22.5" customHeight="1">
      <c r="B195" s="41"/>
      <c r="C195" s="41"/>
      <c r="D195" s="39"/>
      <c r="E195" s="39"/>
      <c r="F195" s="39"/>
      <c r="G195" s="39"/>
    </row>
    <row r="196" spans="2:7" ht="22.5" customHeight="1">
      <c r="B196" s="41"/>
      <c r="C196" s="41"/>
      <c r="D196" s="39"/>
      <c r="E196" s="39"/>
      <c r="F196" s="39"/>
      <c r="G196" s="39"/>
    </row>
    <row r="197" spans="2:7" ht="22.5" customHeight="1">
      <c r="B197" s="41"/>
      <c r="C197" s="41"/>
      <c r="D197" s="39"/>
      <c r="E197" s="39"/>
      <c r="F197" s="39"/>
      <c r="G197" s="39"/>
    </row>
    <row r="198" spans="2:7" ht="22.5" customHeight="1">
      <c r="B198" s="41"/>
      <c r="C198" s="41"/>
      <c r="D198" s="39"/>
      <c r="E198" s="39"/>
      <c r="F198" s="39"/>
      <c r="G198" s="39"/>
    </row>
    <row r="199" spans="2:7" ht="22.5" customHeight="1">
      <c r="B199" s="41"/>
      <c r="C199" s="41"/>
      <c r="D199" s="39"/>
      <c r="E199" s="39"/>
      <c r="F199" s="39"/>
      <c r="G199" s="39"/>
    </row>
    <row r="200" spans="2:7" ht="22.5" customHeight="1">
      <c r="B200" s="41"/>
      <c r="C200" s="41"/>
      <c r="D200" s="39"/>
      <c r="E200" s="39"/>
      <c r="F200" s="39"/>
      <c r="G200" s="39"/>
    </row>
    <row r="201" spans="2:7" ht="22.5" customHeight="1">
      <c r="B201" s="41"/>
      <c r="C201" s="41"/>
      <c r="D201" s="39"/>
      <c r="E201" s="39"/>
      <c r="F201" s="39"/>
      <c r="G201" s="39"/>
    </row>
    <row r="202" spans="2:7" ht="22.5" customHeight="1">
      <c r="B202" s="41"/>
      <c r="C202" s="41"/>
      <c r="D202" s="39"/>
      <c r="E202" s="39"/>
      <c r="F202" s="39"/>
      <c r="G202" s="39"/>
    </row>
    <row r="203" spans="2:7" ht="22.5" customHeight="1">
      <c r="B203" s="41"/>
      <c r="C203" s="41"/>
      <c r="D203" s="39"/>
      <c r="E203" s="39"/>
      <c r="F203" s="39"/>
      <c r="G203" s="39"/>
    </row>
    <row r="204" spans="2:7" ht="22.5" customHeight="1">
      <c r="B204" s="41"/>
      <c r="C204" s="41"/>
      <c r="D204" s="39"/>
      <c r="E204" s="39"/>
      <c r="F204" s="39"/>
      <c r="G204" s="39"/>
    </row>
    <row r="205" spans="2:7" ht="22.5" customHeight="1">
      <c r="B205" s="41"/>
      <c r="C205" s="41"/>
      <c r="D205" s="39"/>
      <c r="E205" s="39"/>
      <c r="F205" s="39"/>
      <c r="G205" s="39"/>
    </row>
    <row r="206" spans="2:7" ht="22.5" customHeight="1">
      <c r="B206" s="41"/>
      <c r="C206" s="41"/>
      <c r="D206" s="39"/>
      <c r="E206" s="39"/>
      <c r="F206" s="39"/>
      <c r="G206" s="39"/>
    </row>
    <row r="207" spans="2:7" ht="22.5" customHeight="1">
      <c r="B207" s="41"/>
      <c r="C207" s="41"/>
      <c r="D207" s="39"/>
      <c r="E207" s="39"/>
      <c r="F207" s="39"/>
      <c r="G207" s="39"/>
    </row>
    <row r="208" spans="2:7" ht="22.5" customHeight="1">
      <c r="B208" s="41"/>
      <c r="C208" s="41"/>
      <c r="D208" s="39"/>
      <c r="E208" s="39"/>
      <c r="F208" s="39"/>
      <c r="G208" s="39"/>
    </row>
    <row r="209" spans="2:7" ht="22.5" customHeight="1">
      <c r="B209" s="41"/>
      <c r="C209" s="41"/>
      <c r="D209" s="39"/>
      <c r="E209" s="39"/>
      <c r="F209" s="39"/>
      <c r="G209" s="39"/>
    </row>
    <row r="210" spans="2:7" ht="22.5" customHeight="1">
      <c r="B210" s="41"/>
      <c r="C210" s="41"/>
      <c r="D210" s="39"/>
      <c r="E210" s="39"/>
      <c r="F210" s="39"/>
      <c r="G210" s="39"/>
    </row>
    <row r="211" spans="2:7" ht="22.5" customHeight="1">
      <c r="B211" s="41"/>
      <c r="C211" s="41"/>
      <c r="D211" s="39"/>
      <c r="E211" s="39"/>
      <c r="F211" s="39"/>
      <c r="G211" s="39"/>
    </row>
    <row r="212" spans="2:7" ht="22.5" customHeight="1">
      <c r="B212" s="41"/>
      <c r="C212" s="41"/>
      <c r="D212" s="39"/>
      <c r="E212" s="39"/>
      <c r="F212" s="39"/>
      <c r="G212" s="39"/>
    </row>
    <row r="213" spans="2:7" ht="22.5" customHeight="1">
      <c r="B213" s="41"/>
      <c r="C213" s="41"/>
      <c r="D213" s="39"/>
      <c r="E213" s="39"/>
      <c r="F213" s="39"/>
      <c r="G213" s="39"/>
    </row>
    <row r="214" spans="2:7" ht="22.5" customHeight="1">
      <c r="B214" s="41"/>
      <c r="C214" s="41"/>
      <c r="D214" s="39"/>
      <c r="E214" s="39"/>
      <c r="F214" s="39"/>
      <c r="G214" s="39"/>
    </row>
    <row r="215" spans="2:7" ht="22.5" customHeight="1">
      <c r="B215" s="41"/>
      <c r="C215" s="41"/>
      <c r="D215" s="39"/>
      <c r="E215" s="39"/>
      <c r="F215" s="39"/>
      <c r="G215" s="39"/>
    </row>
    <row r="216" spans="2:7" ht="22.5" customHeight="1">
      <c r="B216" s="41"/>
      <c r="C216" s="41"/>
      <c r="D216" s="39"/>
      <c r="E216" s="39"/>
      <c r="F216" s="39"/>
      <c r="G216" s="39"/>
    </row>
    <row r="217" spans="2:7" ht="22.5" customHeight="1">
      <c r="B217" s="41"/>
      <c r="C217" s="41"/>
      <c r="D217" s="39"/>
      <c r="E217" s="39"/>
      <c r="F217" s="39"/>
      <c r="G217" s="39"/>
    </row>
    <row r="218" spans="2:7" ht="22.5" customHeight="1">
      <c r="B218" s="41"/>
      <c r="C218" s="41"/>
      <c r="D218" s="39"/>
      <c r="E218" s="39"/>
      <c r="F218" s="39"/>
      <c r="G218" s="39"/>
    </row>
    <row r="219" spans="2:7" ht="22.5" customHeight="1">
      <c r="B219" s="41"/>
      <c r="C219" s="41"/>
      <c r="D219" s="39"/>
      <c r="E219" s="39"/>
      <c r="F219" s="39"/>
      <c r="G219" s="39"/>
    </row>
    <row r="220" spans="2:7" ht="22.5" customHeight="1">
      <c r="B220" s="41"/>
      <c r="C220" s="41"/>
      <c r="D220" s="39"/>
      <c r="E220" s="39"/>
      <c r="F220" s="39"/>
      <c r="G220" s="39"/>
    </row>
    <row r="221" spans="2:7" ht="22.5" customHeight="1">
      <c r="B221" s="41"/>
      <c r="C221" s="41"/>
      <c r="D221" s="39"/>
      <c r="E221" s="39"/>
      <c r="F221" s="39"/>
      <c r="G221" s="39"/>
    </row>
    <row r="222" spans="2:7" ht="22.5" customHeight="1">
      <c r="B222" s="41"/>
      <c r="C222" s="41"/>
      <c r="D222" s="39"/>
      <c r="E222" s="39"/>
      <c r="F222" s="39"/>
      <c r="G222" s="39"/>
    </row>
    <row r="223" spans="2:7" ht="22.5" customHeight="1">
      <c r="B223" s="41"/>
      <c r="C223" s="41"/>
      <c r="D223" s="39"/>
      <c r="E223" s="39"/>
      <c r="F223" s="39"/>
      <c r="G223" s="39"/>
    </row>
    <row r="224" spans="2:7" ht="22.5" customHeight="1">
      <c r="B224" s="41"/>
      <c r="C224" s="41"/>
      <c r="D224" s="39"/>
      <c r="E224" s="39"/>
      <c r="F224" s="39"/>
      <c r="G224" s="39"/>
    </row>
    <row r="225" spans="2:7" ht="22.5" customHeight="1">
      <c r="B225" s="41"/>
      <c r="C225" s="41"/>
      <c r="D225" s="39"/>
      <c r="E225" s="39"/>
      <c r="F225" s="39"/>
      <c r="G225" s="39"/>
    </row>
    <row r="226" spans="2:7" ht="22.5" customHeight="1">
      <c r="B226" s="41"/>
      <c r="C226" s="41"/>
      <c r="D226" s="39"/>
      <c r="E226" s="39"/>
      <c r="F226" s="39"/>
      <c r="G226" s="39"/>
    </row>
    <row r="227" spans="2:7" ht="22.5" customHeight="1">
      <c r="B227" s="41"/>
      <c r="C227" s="41"/>
      <c r="D227" s="39"/>
      <c r="E227" s="39"/>
      <c r="F227" s="39"/>
      <c r="G227" s="39"/>
    </row>
    <row r="228" spans="2:7" ht="22.5" customHeight="1">
      <c r="B228" s="41"/>
      <c r="C228" s="41"/>
      <c r="D228" s="39"/>
      <c r="E228" s="39"/>
      <c r="F228" s="39"/>
      <c r="G228" s="39"/>
    </row>
    <row r="229" spans="2:7" ht="22.5" customHeight="1">
      <c r="B229" s="41"/>
      <c r="C229" s="41"/>
      <c r="D229" s="39"/>
      <c r="E229" s="39"/>
      <c r="F229" s="39"/>
      <c r="G229" s="39"/>
    </row>
    <row r="230" spans="2:7" ht="22.5" customHeight="1">
      <c r="B230" s="41"/>
      <c r="C230" s="41"/>
      <c r="D230" s="39"/>
      <c r="E230" s="39"/>
      <c r="F230" s="39"/>
      <c r="G230" s="39"/>
    </row>
    <row r="231" spans="2:7" ht="22.5" customHeight="1">
      <c r="B231" s="41"/>
      <c r="C231" s="41"/>
      <c r="D231" s="39"/>
      <c r="E231" s="39"/>
      <c r="F231" s="39"/>
      <c r="G231" s="39"/>
    </row>
    <row r="232" spans="2:7" ht="22.5" customHeight="1">
      <c r="B232" s="41"/>
      <c r="C232" s="41"/>
      <c r="D232" s="39"/>
      <c r="E232" s="39"/>
      <c r="F232" s="39"/>
      <c r="G232" s="39"/>
    </row>
    <row r="233" spans="2:7" ht="22.5" customHeight="1">
      <c r="B233" s="41"/>
      <c r="C233" s="41"/>
      <c r="D233" s="39"/>
      <c r="E233" s="39"/>
      <c r="F233" s="39"/>
      <c r="G233" s="39"/>
    </row>
    <row r="234" spans="2:7" ht="22.5" customHeight="1">
      <c r="B234" s="41"/>
      <c r="C234" s="41"/>
      <c r="D234" s="39"/>
      <c r="E234" s="39"/>
      <c r="F234" s="39"/>
      <c r="G234" s="39"/>
    </row>
    <row r="235" spans="2:7" ht="22.5" customHeight="1">
      <c r="B235" s="41"/>
      <c r="C235" s="41"/>
      <c r="D235" s="39"/>
      <c r="E235" s="39"/>
      <c r="F235" s="39"/>
      <c r="G235" s="39"/>
    </row>
    <row r="236" spans="2:7" ht="22.5" customHeight="1">
      <c r="B236" s="41"/>
      <c r="C236" s="41"/>
      <c r="D236" s="39"/>
      <c r="E236" s="39"/>
      <c r="F236" s="39"/>
      <c r="G236" s="39"/>
    </row>
    <row r="237" spans="2:7" ht="22.5" customHeight="1">
      <c r="B237" s="41"/>
      <c r="C237" s="41"/>
      <c r="D237" s="39"/>
      <c r="E237" s="39"/>
      <c r="F237" s="39"/>
      <c r="G237" s="39"/>
    </row>
    <row r="238" spans="2:7" ht="22.5" customHeight="1">
      <c r="B238" s="41"/>
      <c r="C238" s="41"/>
      <c r="D238" s="39"/>
      <c r="E238" s="39"/>
      <c r="F238" s="39"/>
      <c r="G238" s="39"/>
    </row>
    <row r="239" spans="2:7" ht="22.5" customHeight="1">
      <c r="B239" s="41"/>
      <c r="C239" s="41"/>
      <c r="D239" s="39"/>
      <c r="E239" s="39"/>
      <c r="F239" s="39"/>
      <c r="G239" s="39"/>
    </row>
    <row r="240" spans="2:7" ht="22.5" customHeight="1">
      <c r="B240" s="41"/>
      <c r="C240" s="41"/>
      <c r="D240" s="39"/>
      <c r="E240" s="39"/>
      <c r="F240" s="39"/>
      <c r="G240" s="39"/>
    </row>
    <row r="241" spans="2:7" ht="22.5" customHeight="1">
      <c r="B241" s="41"/>
      <c r="C241" s="41"/>
      <c r="D241" s="39"/>
      <c r="E241" s="39"/>
      <c r="F241" s="39"/>
      <c r="G241" s="39"/>
    </row>
    <row r="242" spans="2:7" ht="22.5" customHeight="1">
      <c r="B242" s="41"/>
      <c r="C242" s="41"/>
      <c r="D242" s="39"/>
      <c r="E242" s="39"/>
      <c r="F242" s="39"/>
      <c r="G242" s="39"/>
    </row>
    <row r="243" spans="2:7" ht="22.5" customHeight="1">
      <c r="B243" s="41"/>
      <c r="C243" s="41"/>
      <c r="D243" s="39"/>
      <c r="E243" s="39"/>
      <c r="F243" s="39"/>
      <c r="G243" s="39"/>
    </row>
    <row r="244" spans="2:7" ht="22.5" customHeight="1">
      <c r="B244" s="41"/>
      <c r="C244" s="41"/>
      <c r="D244" s="39"/>
      <c r="E244" s="39"/>
      <c r="F244" s="39"/>
      <c r="G244" s="39"/>
    </row>
    <row r="245" spans="2:7" ht="22.5" customHeight="1">
      <c r="B245" s="41"/>
      <c r="C245" s="41"/>
      <c r="D245" s="39"/>
      <c r="E245" s="39"/>
      <c r="F245" s="39"/>
      <c r="G245" s="39"/>
    </row>
    <row r="246" spans="2:7" ht="22.5" customHeight="1">
      <c r="B246" s="41"/>
      <c r="C246" s="41"/>
      <c r="D246" s="39"/>
      <c r="E246" s="39"/>
      <c r="F246" s="39"/>
      <c r="G246" s="39"/>
    </row>
    <row r="247" spans="2:7" ht="22.5" customHeight="1">
      <c r="B247" s="41"/>
      <c r="C247" s="41"/>
      <c r="D247" s="39"/>
      <c r="E247" s="39"/>
      <c r="F247" s="39"/>
      <c r="G247" s="39"/>
    </row>
    <row r="248" spans="2:7" ht="22.5" customHeight="1">
      <c r="B248" s="41"/>
      <c r="C248" s="41"/>
      <c r="D248" s="39"/>
      <c r="E248" s="39"/>
      <c r="F248" s="39"/>
      <c r="G248" s="39"/>
    </row>
    <row r="249" spans="2:7" ht="22.5" customHeight="1">
      <c r="B249" s="41"/>
      <c r="C249" s="41"/>
      <c r="D249" s="39"/>
      <c r="E249" s="39"/>
      <c r="F249" s="39"/>
      <c r="G249" s="39"/>
    </row>
    <row r="250" spans="2:7" ht="22.5" customHeight="1">
      <c r="B250" s="41"/>
      <c r="C250" s="41"/>
      <c r="D250" s="39"/>
      <c r="E250" s="39"/>
      <c r="F250" s="39"/>
      <c r="G250" s="39"/>
    </row>
    <row r="251" spans="2:7" ht="22.5" customHeight="1">
      <c r="B251" s="41"/>
      <c r="C251" s="41"/>
      <c r="D251" s="39"/>
      <c r="E251" s="39"/>
      <c r="F251" s="39"/>
      <c r="G251" s="39"/>
    </row>
    <row r="252" spans="2:7" ht="22.5" customHeight="1">
      <c r="B252" s="41"/>
      <c r="C252" s="41"/>
      <c r="D252" s="39"/>
      <c r="E252" s="39"/>
      <c r="F252" s="39"/>
      <c r="G252" s="39"/>
    </row>
    <row r="253" spans="2:7" ht="22.5" customHeight="1">
      <c r="B253" s="41"/>
      <c r="C253" s="41"/>
      <c r="D253" s="39"/>
      <c r="E253" s="39"/>
      <c r="F253" s="39"/>
      <c r="G253" s="39"/>
    </row>
    <row r="254" spans="2:7" ht="22.5" customHeight="1">
      <c r="B254" s="41"/>
      <c r="C254" s="41"/>
      <c r="D254" s="39"/>
      <c r="E254" s="39"/>
      <c r="F254" s="39"/>
      <c r="G254" s="39"/>
    </row>
    <row r="255" spans="2:7" ht="22.5" customHeight="1">
      <c r="B255" s="41"/>
      <c r="C255" s="41"/>
      <c r="D255" s="39"/>
      <c r="E255" s="39"/>
      <c r="F255" s="39"/>
      <c r="G255" s="39"/>
    </row>
    <row r="256" spans="2:7" ht="22.5" customHeight="1">
      <c r="B256" s="41"/>
      <c r="C256" s="41"/>
      <c r="D256" s="39"/>
      <c r="E256" s="39"/>
      <c r="F256" s="39"/>
      <c r="G256" s="39"/>
    </row>
    <row r="257" spans="2:7" ht="22.5" customHeight="1">
      <c r="B257" s="41"/>
      <c r="C257" s="41"/>
      <c r="D257" s="39"/>
      <c r="E257" s="39"/>
      <c r="F257" s="39"/>
      <c r="G257" s="39"/>
    </row>
    <row r="258" spans="2:7" ht="22.5" customHeight="1">
      <c r="B258" s="41"/>
      <c r="C258" s="41"/>
      <c r="D258" s="39"/>
      <c r="E258" s="39"/>
      <c r="F258" s="39"/>
      <c r="G258" s="39"/>
    </row>
    <row r="259" spans="2:7" ht="22.5" customHeight="1">
      <c r="B259" s="41"/>
      <c r="C259" s="41"/>
      <c r="D259" s="39"/>
      <c r="E259" s="39"/>
      <c r="F259" s="39"/>
      <c r="G259" s="39"/>
    </row>
    <row r="260" spans="2:7" ht="22.5" customHeight="1">
      <c r="B260" s="41"/>
      <c r="C260" s="41"/>
      <c r="D260" s="39"/>
      <c r="E260" s="39"/>
      <c r="F260" s="39"/>
      <c r="G260" s="39"/>
    </row>
    <row r="261" spans="2:7" ht="22.5" customHeight="1">
      <c r="B261" s="41"/>
      <c r="C261" s="41"/>
      <c r="D261" s="39"/>
      <c r="E261" s="39"/>
      <c r="F261" s="39"/>
      <c r="G261" s="39"/>
    </row>
    <row r="262" spans="2:7" ht="22.5" customHeight="1">
      <c r="B262" s="41"/>
      <c r="C262" s="41"/>
      <c r="D262" s="39"/>
      <c r="E262" s="39"/>
      <c r="F262" s="39"/>
      <c r="G262" s="39"/>
    </row>
    <row r="263" spans="2:7" ht="22.5" customHeight="1">
      <c r="B263" s="41"/>
      <c r="C263" s="41"/>
      <c r="D263" s="39"/>
      <c r="E263" s="39"/>
      <c r="F263" s="39"/>
      <c r="G263" s="39"/>
    </row>
    <row r="264" spans="2:7" ht="22.5" customHeight="1">
      <c r="B264" s="41"/>
      <c r="C264" s="41"/>
      <c r="D264" s="39"/>
      <c r="E264" s="39"/>
      <c r="F264" s="39"/>
      <c r="G264" s="39"/>
    </row>
    <row r="265" spans="2:7" ht="22.5" customHeight="1">
      <c r="B265" s="41"/>
      <c r="C265" s="41"/>
      <c r="D265" s="39"/>
      <c r="E265" s="39"/>
      <c r="F265" s="39"/>
      <c r="G265" s="39"/>
    </row>
    <row r="266" spans="2:7" ht="22.5" customHeight="1">
      <c r="B266" s="41"/>
      <c r="C266" s="41"/>
      <c r="D266" s="39"/>
      <c r="E266" s="39"/>
      <c r="F266" s="39"/>
      <c r="G266" s="39"/>
    </row>
    <row r="267" spans="2:7" ht="22.5" customHeight="1">
      <c r="B267" s="41"/>
      <c r="C267" s="41"/>
      <c r="D267" s="39"/>
      <c r="E267" s="39"/>
      <c r="F267" s="39"/>
      <c r="G267" s="39"/>
    </row>
    <row r="268" spans="2:7" ht="22.5" customHeight="1">
      <c r="B268" s="41"/>
      <c r="C268" s="41"/>
      <c r="D268" s="39"/>
      <c r="E268" s="39"/>
      <c r="F268" s="39"/>
      <c r="G268" s="39"/>
    </row>
    <row r="269" spans="2:7" ht="22.5" customHeight="1">
      <c r="B269" s="41"/>
      <c r="C269" s="41"/>
      <c r="D269" s="39"/>
      <c r="E269" s="39"/>
      <c r="F269" s="39"/>
      <c r="G269" s="39"/>
    </row>
    <row r="270" spans="2:7" ht="22.5" customHeight="1">
      <c r="B270" s="41"/>
      <c r="C270" s="41"/>
      <c r="D270" s="39"/>
      <c r="E270" s="39"/>
      <c r="F270" s="39"/>
      <c r="G270" s="39"/>
    </row>
    <row r="271" spans="2:7" ht="22.5" customHeight="1">
      <c r="B271" s="41"/>
      <c r="C271" s="41"/>
      <c r="D271" s="39"/>
      <c r="E271" s="39"/>
      <c r="F271" s="39"/>
      <c r="G271" s="39"/>
    </row>
    <row r="272" spans="2:7" ht="12.75">
      <c r="B272" s="38"/>
    </row>
    <row r="273" spans="2:2" ht="12.75">
      <c r="B273" s="38"/>
    </row>
    <row r="274" spans="2:2" ht="12.75">
      <c r="B274" s="38"/>
    </row>
    <row r="275" spans="2:2" ht="12.75">
      <c r="B275" s="38"/>
    </row>
    <row r="276" spans="2:2" ht="12.75">
      <c r="B276" s="38"/>
    </row>
    <row r="277" spans="2:2" ht="12.75">
      <c r="B277" s="38"/>
    </row>
    <row r="278" spans="2:2" ht="12.75">
      <c r="B278" s="38"/>
    </row>
    <row r="279" spans="2:2" ht="12.75">
      <c r="B279" s="38"/>
    </row>
    <row r="280" spans="2:2" ht="12.75">
      <c r="B280" s="38"/>
    </row>
    <row r="281" spans="2:2" ht="12.75">
      <c r="B281" s="38"/>
    </row>
    <row r="282" spans="2:2" ht="12.75">
      <c r="B282" s="38"/>
    </row>
    <row r="283" spans="2:2" ht="12.75">
      <c r="B283" s="38"/>
    </row>
    <row r="284" spans="2:2" ht="12.75">
      <c r="B284" s="38"/>
    </row>
    <row r="285" spans="2:2" ht="12.75">
      <c r="B285" s="38"/>
    </row>
    <row r="286" spans="2:2" ht="12.75">
      <c r="B286" s="38"/>
    </row>
    <row r="287" spans="2:2" ht="12.75">
      <c r="B287" s="38"/>
    </row>
    <row r="288" spans="2:2" ht="12.75">
      <c r="B288" s="38"/>
    </row>
    <row r="289" spans="2:2" ht="12.75">
      <c r="B289" s="38"/>
    </row>
    <row r="290" spans="2:2" ht="12.75">
      <c r="B290" s="38"/>
    </row>
    <row r="291" spans="2:2" ht="12.75">
      <c r="B291" s="38"/>
    </row>
    <row r="292" spans="2:2" ht="12.75">
      <c r="B292" s="38"/>
    </row>
    <row r="293" spans="2:2" ht="12.75">
      <c r="B293" s="38"/>
    </row>
    <row r="294" spans="2:2" ht="12.75">
      <c r="B294" s="38"/>
    </row>
    <row r="295" spans="2:2" ht="12.75">
      <c r="B295" s="38"/>
    </row>
    <row r="296" spans="2:2" ht="12.75">
      <c r="B296" s="38"/>
    </row>
    <row r="297" spans="2:2" ht="12.75">
      <c r="B297" s="38"/>
    </row>
    <row r="298" spans="2:2" ht="12.75">
      <c r="B298" s="38"/>
    </row>
    <row r="299" spans="2:2" ht="12.75">
      <c r="B299" s="38"/>
    </row>
    <row r="300" spans="2:2" ht="12.75">
      <c r="B300" s="38"/>
    </row>
    <row r="301" spans="2:2" ht="12.75">
      <c r="B301" s="38"/>
    </row>
    <row r="302" spans="2:2" ht="12.75">
      <c r="B302" s="38"/>
    </row>
    <row r="303" spans="2:2" ht="12.75">
      <c r="B303" s="38"/>
    </row>
    <row r="304" spans="2:2" ht="12.75">
      <c r="B304" s="38"/>
    </row>
    <row r="305" spans="2:2" ht="12.75">
      <c r="B305" s="38"/>
    </row>
    <row r="306" spans="2:2" ht="12.75">
      <c r="B306" s="38"/>
    </row>
    <row r="307" spans="2:2" ht="12.75">
      <c r="B307" s="38"/>
    </row>
    <row r="308" spans="2:2" ht="12.75">
      <c r="B308" s="38"/>
    </row>
    <row r="309" spans="2:2" ht="12.75">
      <c r="B309" s="38"/>
    </row>
    <row r="310" spans="2:2" ht="12.75">
      <c r="B310" s="38"/>
    </row>
    <row r="311" spans="2:2" ht="12.75">
      <c r="B311" s="38"/>
    </row>
    <row r="312" spans="2:2" ht="12.75">
      <c r="B312" s="38"/>
    </row>
    <row r="313" spans="2:2" ht="12.75">
      <c r="B313" s="38"/>
    </row>
    <row r="314" spans="2:2" ht="12.75">
      <c r="B314" s="38"/>
    </row>
    <row r="315" spans="2:2" ht="12.75">
      <c r="B315" s="38"/>
    </row>
    <row r="316" spans="2:2" ht="12.75">
      <c r="B316" s="38"/>
    </row>
    <row r="317" spans="2:2" ht="12.75">
      <c r="B317" s="38"/>
    </row>
    <row r="318" spans="2:2" ht="12.75">
      <c r="B318" s="38"/>
    </row>
    <row r="319" spans="2:2" ht="12.75">
      <c r="B319" s="38"/>
    </row>
    <row r="320" spans="2:2" ht="12.75">
      <c r="B320" s="38"/>
    </row>
    <row r="321" spans="2:2" ht="12.75">
      <c r="B321" s="38"/>
    </row>
    <row r="322" spans="2:2" ht="12.75">
      <c r="B322" s="38"/>
    </row>
    <row r="323" spans="2:2" ht="12.75">
      <c r="B323" s="38"/>
    </row>
    <row r="324" spans="2:2" ht="12.75">
      <c r="B324" s="38"/>
    </row>
    <row r="325" spans="2:2" ht="12.75">
      <c r="B325" s="38"/>
    </row>
    <row r="326" spans="2:2" ht="12.75">
      <c r="B326" s="38"/>
    </row>
    <row r="327" spans="2:2" ht="12.75">
      <c r="B327" s="38"/>
    </row>
    <row r="328" spans="2:2" ht="12.75">
      <c r="B328" s="38"/>
    </row>
    <row r="329" spans="2:2" ht="12.75">
      <c r="B329" s="38"/>
    </row>
    <row r="330" spans="2:2" ht="12.75">
      <c r="B330" s="38"/>
    </row>
    <row r="331" spans="2:2" ht="12.75">
      <c r="B331" s="38"/>
    </row>
    <row r="332" spans="2:2" ht="12.75">
      <c r="B332" s="38"/>
    </row>
    <row r="333" spans="2:2" ht="12.75">
      <c r="B333" s="38"/>
    </row>
    <row r="334" spans="2:2" ht="12.75">
      <c r="B334" s="38"/>
    </row>
    <row r="335" spans="2:2" ht="12.75">
      <c r="B335" s="38"/>
    </row>
    <row r="336" spans="2:2" ht="12.75">
      <c r="B336" s="38"/>
    </row>
    <row r="337" spans="2:2" ht="12.75">
      <c r="B337" s="38"/>
    </row>
    <row r="338" spans="2:2" ht="12.75">
      <c r="B338" s="38"/>
    </row>
    <row r="339" spans="2:2" ht="12.75">
      <c r="B339" s="38"/>
    </row>
    <row r="340" spans="2:2" ht="12.75">
      <c r="B340" s="38"/>
    </row>
    <row r="341" spans="2:2" ht="12.75">
      <c r="B341" s="38"/>
    </row>
    <row r="342" spans="2:2" ht="12.75">
      <c r="B342" s="38"/>
    </row>
    <row r="343" spans="2:2" ht="12.75">
      <c r="B343" s="38"/>
    </row>
    <row r="344" spans="2:2" ht="12.75">
      <c r="B344" s="38"/>
    </row>
    <row r="345" spans="2:2" ht="12.75">
      <c r="B345" s="38"/>
    </row>
    <row r="346" spans="2:2" ht="12.75">
      <c r="B346" s="38"/>
    </row>
    <row r="347" spans="2:2" ht="12.75">
      <c r="B347" s="38"/>
    </row>
    <row r="348" spans="2:2" ht="12.75">
      <c r="B348" s="38"/>
    </row>
    <row r="349" spans="2:2" ht="12.75">
      <c r="B349" s="38"/>
    </row>
    <row r="350" spans="2:2" ht="12.75">
      <c r="B350" s="38"/>
    </row>
    <row r="351" spans="2:2" ht="12.75">
      <c r="B351" s="38"/>
    </row>
    <row r="352" spans="2:2" ht="12.75">
      <c r="B352" s="38"/>
    </row>
    <row r="353" spans="2:2" ht="12.75">
      <c r="B353" s="38"/>
    </row>
    <row r="354" spans="2:2" ht="12.75">
      <c r="B354" s="38"/>
    </row>
    <row r="355" spans="2:2" ht="12.75">
      <c r="B355" s="38"/>
    </row>
    <row r="356" spans="2:2" ht="12.75">
      <c r="B356" s="38"/>
    </row>
    <row r="357" spans="2:2" ht="12.75">
      <c r="B357" s="38"/>
    </row>
    <row r="358" spans="2:2" ht="12.75">
      <c r="B358" s="38"/>
    </row>
    <row r="359" spans="2:2" ht="12.75">
      <c r="B359" s="38"/>
    </row>
    <row r="360" spans="2:2" ht="12.75">
      <c r="B360" s="38"/>
    </row>
    <row r="361" spans="2:2" ht="12.75">
      <c r="B361" s="38"/>
    </row>
    <row r="362" spans="2:2" ht="12.75">
      <c r="B362" s="38"/>
    </row>
    <row r="363" spans="2:2" ht="12.75">
      <c r="B363" s="38"/>
    </row>
    <row r="364" spans="2:2" ht="12.75">
      <c r="B364" s="38"/>
    </row>
    <row r="365" spans="2:2" ht="12.75">
      <c r="B365" s="38"/>
    </row>
    <row r="366" spans="2:2" ht="12.75">
      <c r="B366" s="38"/>
    </row>
    <row r="367" spans="2:2" ht="12.75">
      <c r="B367" s="38"/>
    </row>
    <row r="368" spans="2:2" ht="12.75">
      <c r="B368" s="38"/>
    </row>
    <row r="369" spans="2:2" ht="12.75">
      <c r="B369" s="38"/>
    </row>
    <row r="370" spans="2:2" ht="12.75">
      <c r="B370" s="38"/>
    </row>
    <row r="371" spans="2:2" ht="12.75">
      <c r="B371" s="38"/>
    </row>
    <row r="372" spans="2:2" ht="12.75">
      <c r="B372" s="38"/>
    </row>
    <row r="373" spans="2:2" ht="12.75">
      <c r="B373" s="38"/>
    </row>
    <row r="374" spans="2:2" ht="12.75">
      <c r="B374" s="38"/>
    </row>
    <row r="375" spans="2:2" ht="12.75">
      <c r="B375" s="38"/>
    </row>
    <row r="376" spans="2:2" ht="12.75">
      <c r="B376" s="38"/>
    </row>
    <row r="377" spans="2:2" ht="12.75">
      <c r="B377" s="38"/>
    </row>
    <row r="378" spans="2:2" ht="12.75">
      <c r="B378" s="38"/>
    </row>
    <row r="379" spans="2:2" ht="12.75">
      <c r="B379" s="38"/>
    </row>
    <row r="380" spans="2:2" ht="12.75">
      <c r="B380" s="38"/>
    </row>
    <row r="381" spans="2:2" ht="12.75">
      <c r="B381" s="38"/>
    </row>
    <row r="382" spans="2:2" ht="12.75">
      <c r="B382" s="38"/>
    </row>
    <row r="383" spans="2:2" ht="12.75">
      <c r="B383" s="38"/>
    </row>
    <row r="384" spans="2:2" ht="12.75">
      <c r="B384" s="38"/>
    </row>
    <row r="385" spans="2:2" ht="12.75">
      <c r="B385" s="38"/>
    </row>
    <row r="386" spans="2:2" ht="12.75">
      <c r="B386" s="38"/>
    </row>
    <row r="387" spans="2:2" ht="12.75">
      <c r="B387" s="38"/>
    </row>
    <row r="388" spans="2:2" ht="12.75">
      <c r="B388" s="38"/>
    </row>
    <row r="389" spans="2:2" ht="12.75">
      <c r="B389" s="38"/>
    </row>
    <row r="390" spans="2:2" ht="12.75">
      <c r="B390" s="38"/>
    </row>
    <row r="391" spans="2:2" ht="12.75">
      <c r="B391" s="38"/>
    </row>
    <row r="392" spans="2:2" ht="12.75">
      <c r="B392" s="38"/>
    </row>
    <row r="393" spans="2:2" ht="12.75">
      <c r="B393" s="38"/>
    </row>
    <row r="394" spans="2:2" ht="12.75">
      <c r="B394" s="38"/>
    </row>
    <row r="395" spans="2:2" ht="12.75">
      <c r="B395" s="38"/>
    </row>
    <row r="396" spans="2:2" ht="12.75">
      <c r="B396" s="38"/>
    </row>
    <row r="397" spans="2:2" ht="12.75">
      <c r="B397" s="38"/>
    </row>
    <row r="398" spans="2:2" ht="12.75">
      <c r="B398" s="38"/>
    </row>
    <row r="399" spans="2:2" ht="12.75">
      <c r="B399" s="38"/>
    </row>
    <row r="400" spans="2:2" ht="12.75">
      <c r="B400" s="38"/>
    </row>
    <row r="401" spans="2:2" ht="12.75">
      <c r="B401" s="38"/>
    </row>
    <row r="402" spans="2:2" ht="12.75">
      <c r="B402" s="38"/>
    </row>
    <row r="403" spans="2:2" ht="12.75">
      <c r="B403" s="38"/>
    </row>
    <row r="404" spans="2:2" ht="12.75">
      <c r="B404" s="38"/>
    </row>
    <row r="405" spans="2:2" ht="12.75">
      <c r="B405" s="38"/>
    </row>
    <row r="406" spans="2:2" ht="12.75">
      <c r="B406" s="38"/>
    </row>
    <row r="407" spans="2:2" ht="12.75">
      <c r="B407" s="38"/>
    </row>
    <row r="408" spans="2:2" ht="12.75">
      <c r="B408" s="38"/>
    </row>
    <row r="409" spans="2:2" ht="12.75">
      <c r="B409" s="38"/>
    </row>
    <row r="410" spans="2:2" ht="12.75">
      <c r="B410" s="38"/>
    </row>
    <row r="411" spans="2:2" ht="12.75">
      <c r="B411" s="38"/>
    </row>
    <row r="412" spans="2:2" ht="12.75">
      <c r="B412" s="38"/>
    </row>
    <row r="413" spans="2:2" ht="12.75">
      <c r="B413" s="38"/>
    </row>
    <row r="414" spans="2:2" ht="12.75">
      <c r="B414" s="38"/>
    </row>
    <row r="415" spans="2:2" ht="12.75">
      <c r="B415" s="38"/>
    </row>
    <row r="416" spans="2:2" ht="12.75">
      <c r="B416" s="38"/>
    </row>
    <row r="417" spans="2:2" ht="12.75">
      <c r="B417" s="38"/>
    </row>
    <row r="418" spans="2:2" ht="12.75">
      <c r="B418" s="38"/>
    </row>
    <row r="419" spans="2:2" ht="12.75">
      <c r="B419" s="38"/>
    </row>
    <row r="420" spans="2:2" ht="12.75">
      <c r="B420" s="38"/>
    </row>
    <row r="421" spans="2:2" ht="12.75">
      <c r="B421" s="38"/>
    </row>
    <row r="422" spans="2:2" ht="12.75">
      <c r="B422" s="38"/>
    </row>
    <row r="423" spans="2:2" ht="12.75">
      <c r="B423" s="38"/>
    </row>
    <row r="424" spans="2:2" ht="12.75">
      <c r="B424" s="38"/>
    </row>
    <row r="425" spans="2:2" ht="12.75">
      <c r="B425" s="38"/>
    </row>
    <row r="426" spans="2:2" ht="12.75">
      <c r="B426" s="38"/>
    </row>
    <row r="427" spans="2:2" ht="12.75">
      <c r="B427" s="38"/>
    </row>
    <row r="428" spans="2:2" ht="12.75">
      <c r="B428" s="38"/>
    </row>
    <row r="429" spans="2:2" ht="12.75">
      <c r="B429" s="38"/>
    </row>
    <row r="430" spans="2:2" ht="12.75">
      <c r="B430" s="38"/>
    </row>
    <row r="431" spans="2:2" ht="12.75">
      <c r="B431" s="38"/>
    </row>
    <row r="432" spans="2:2" ht="12.75">
      <c r="B432" s="38"/>
    </row>
    <row r="433" spans="2:2" ht="12.75">
      <c r="B433" s="38"/>
    </row>
    <row r="434" spans="2:2" ht="12.75">
      <c r="B434" s="38"/>
    </row>
    <row r="435" spans="2:2" ht="12.75">
      <c r="B435" s="38"/>
    </row>
    <row r="436" spans="2:2" ht="12.75">
      <c r="B436" s="38"/>
    </row>
    <row r="437" spans="2:2" ht="12.75">
      <c r="B437" s="38"/>
    </row>
    <row r="438" spans="2:2" ht="12.75">
      <c r="B438" s="38"/>
    </row>
    <row r="439" spans="2:2" ht="12.75">
      <c r="B439" s="38"/>
    </row>
    <row r="440" spans="2:2" ht="12.75">
      <c r="B440" s="38"/>
    </row>
    <row r="441" spans="2:2" ht="12.75">
      <c r="B441" s="38"/>
    </row>
    <row r="442" spans="2:2" ht="12.75">
      <c r="B442" s="38"/>
    </row>
    <row r="443" spans="2:2" ht="12.75">
      <c r="B443" s="38"/>
    </row>
    <row r="444" spans="2:2" ht="12.75">
      <c r="B444" s="38"/>
    </row>
    <row r="445" spans="2:2" ht="12.75">
      <c r="B445" s="38"/>
    </row>
    <row r="446" spans="2:2" ht="12.75">
      <c r="B446" s="38"/>
    </row>
    <row r="447" spans="2:2" ht="12.75">
      <c r="B447" s="38"/>
    </row>
    <row r="448" spans="2:2" ht="12.75">
      <c r="B448" s="38"/>
    </row>
    <row r="449" spans="2:2" ht="12.75">
      <c r="B449" s="38"/>
    </row>
    <row r="450" spans="2:2" ht="12.75">
      <c r="B450" s="38"/>
    </row>
    <row r="451" spans="2:2" ht="12.75">
      <c r="B451" s="38"/>
    </row>
    <row r="452" spans="2:2" ht="12.75">
      <c r="B452" s="38"/>
    </row>
    <row r="453" spans="2:2" ht="12.75">
      <c r="B453" s="38"/>
    </row>
    <row r="454" spans="2:2" ht="12.75">
      <c r="B454" s="38"/>
    </row>
    <row r="455" spans="2:2" ht="12.75">
      <c r="B455" s="38"/>
    </row>
    <row r="456" spans="2:2" ht="12.75">
      <c r="B456" s="38"/>
    </row>
    <row r="457" spans="2:2" ht="12.75">
      <c r="B457" s="38"/>
    </row>
    <row r="458" spans="2:2" ht="12.75">
      <c r="B458" s="38"/>
    </row>
    <row r="459" spans="2:2" ht="12.75">
      <c r="B459" s="38"/>
    </row>
    <row r="460" spans="2:2" ht="12.75">
      <c r="B460" s="38"/>
    </row>
    <row r="461" spans="2:2" ht="12.75">
      <c r="B461" s="38"/>
    </row>
    <row r="462" spans="2:2" ht="12.75">
      <c r="B462" s="38"/>
    </row>
    <row r="463" spans="2:2" ht="12.75">
      <c r="B463" s="38"/>
    </row>
    <row r="464" spans="2:2" ht="12.75">
      <c r="B464" s="38"/>
    </row>
    <row r="465" spans="2:2" ht="12.75">
      <c r="B465" s="38"/>
    </row>
    <row r="466" spans="2:2" ht="12.75">
      <c r="B466" s="38"/>
    </row>
    <row r="467" spans="2:2" ht="12.75">
      <c r="B467" s="38"/>
    </row>
    <row r="468" spans="2:2" ht="12.75">
      <c r="B468" s="38"/>
    </row>
    <row r="469" spans="2:2" ht="12.75">
      <c r="B469" s="38"/>
    </row>
    <row r="470" spans="2:2" ht="12.75">
      <c r="B470" s="38"/>
    </row>
    <row r="471" spans="2:2" ht="12.75">
      <c r="B471" s="38"/>
    </row>
    <row r="472" spans="2:2" ht="12.75">
      <c r="B472" s="38"/>
    </row>
    <row r="473" spans="2:2" ht="12.75">
      <c r="B473" s="38"/>
    </row>
    <row r="474" spans="2:2" ht="12.75">
      <c r="B474" s="38"/>
    </row>
    <row r="475" spans="2:2" ht="12.75">
      <c r="B475" s="38"/>
    </row>
    <row r="476" spans="2:2" ht="12.75">
      <c r="B476" s="38"/>
    </row>
    <row r="477" spans="2:2" ht="12.75">
      <c r="B477" s="38"/>
    </row>
    <row r="478" spans="2:2" ht="12.75">
      <c r="B478" s="38"/>
    </row>
    <row r="479" spans="2:2" ht="12.75">
      <c r="B479" s="38"/>
    </row>
    <row r="480" spans="2:2" ht="12.75">
      <c r="B480" s="38"/>
    </row>
    <row r="481" spans="2:2" ht="12.75">
      <c r="B481" s="38"/>
    </row>
    <row r="482" spans="2:2" ht="12.75">
      <c r="B482" s="38"/>
    </row>
    <row r="483" spans="2:2" ht="12.75">
      <c r="B483" s="38"/>
    </row>
    <row r="484" spans="2:2" ht="12.75">
      <c r="B484" s="38"/>
    </row>
    <row r="485" spans="2:2" ht="12.75">
      <c r="B485" s="38"/>
    </row>
    <row r="486" spans="2:2" ht="12.75">
      <c r="B486" s="38"/>
    </row>
    <row r="487" spans="2:2" ht="12.75">
      <c r="B487" s="38"/>
    </row>
    <row r="488" spans="2:2" ht="12.75">
      <c r="B488" s="38"/>
    </row>
    <row r="489" spans="2:2" ht="12.75">
      <c r="B489" s="38"/>
    </row>
    <row r="490" spans="2:2" ht="12.75">
      <c r="B490" s="38"/>
    </row>
    <row r="491" spans="2:2" ht="12.75">
      <c r="B491" s="38"/>
    </row>
    <row r="492" spans="2:2" ht="12.75">
      <c r="B492" s="38"/>
    </row>
    <row r="493" spans="2:2" ht="12.75">
      <c r="B493" s="38"/>
    </row>
    <row r="494" spans="2:2" ht="12.75">
      <c r="B494" s="38"/>
    </row>
    <row r="495" spans="2:2" ht="12.75">
      <c r="B495" s="38"/>
    </row>
    <row r="496" spans="2:2" ht="12.75">
      <c r="B496" s="38"/>
    </row>
    <row r="497" spans="2:2" ht="12.75">
      <c r="B497" s="38"/>
    </row>
    <row r="498" spans="2:2" ht="12.75">
      <c r="B498" s="38"/>
    </row>
    <row r="499" spans="2:2" ht="12.75">
      <c r="B499" s="38"/>
    </row>
    <row r="500" spans="2:2" ht="12.75">
      <c r="B500" s="38"/>
    </row>
    <row r="501" spans="2:2" ht="12.75">
      <c r="B501" s="38"/>
    </row>
    <row r="502" spans="2:2" ht="12.75">
      <c r="B502" s="38"/>
    </row>
    <row r="503" spans="2:2" ht="12.75">
      <c r="B503" s="38"/>
    </row>
    <row r="504" spans="2:2" ht="12.75">
      <c r="B504" s="38"/>
    </row>
    <row r="505" spans="2:2" ht="12.75">
      <c r="B505" s="38"/>
    </row>
    <row r="506" spans="2:2" ht="12.75">
      <c r="B506" s="38"/>
    </row>
    <row r="507" spans="2:2" ht="12.75">
      <c r="B507" s="38"/>
    </row>
    <row r="508" spans="2:2" ht="12.75">
      <c r="B508" s="38"/>
    </row>
    <row r="509" spans="2:2" ht="12.75">
      <c r="B509" s="38"/>
    </row>
    <row r="510" spans="2:2" ht="12.75">
      <c r="B510" s="38"/>
    </row>
    <row r="511" spans="2:2" ht="12.75">
      <c r="B511" s="38"/>
    </row>
    <row r="512" spans="2:2" ht="12.75">
      <c r="B512" s="38"/>
    </row>
    <row r="513" spans="2:2" ht="12.75">
      <c r="B513" s="38"/>
    </row>
    <row r="514" spans="2:2" ht="12.75">
      <c r="B514" s="38"/>
    </row>
    <row r="515" spans="2:2" ht="12.75">
      <c r="B515" s="38"/>
    </row>
    <row r="516" spans="2:2" ht="12.75">
      <c r="B516" s="38"/>
    </row>
    <row r="517" spans="2:2" ht="12.75">
      <c r="B517" s="38"/>
    </row>
    <row r="518" spans="2:2" ht="12.75">
      <c r="B518" s="38"/>
    </row>
    <row r="519" spans="2:2" ht="12.75">
      <c r="B519" s="38"/>
    </row>
    <row r="520" spans="2:2" ht="12.75">
      <c r="B520" s="38"/>
    </row>
    <row r="521" spans="2:2" ht="12.75">
      <c r="B521" s="38"/>
    </row>
    <row r="522" spans="2:2" ht="12.75">
      <c r="B522" s="38"/>
    </row>
    <row r="523" spans="2:2" ht="12.75">
      <c r="B523" s="38"/>
    </row>
    <row r="524" spans="2:2" ht="12.75">
      <c r="B524" s="38"/>
    </row>
    <row r="525" spans="2:2" ht="12.75">
      <c r="B525" s="38"/>
    </row>
    <row r="526" spans="2:2" ht="12.75">
      <c r="B526" s="38"/>
    </row>
    <row r="527" spans="2:2" ht="12.75">
      <c r="B527" s="38"/>
    </row>
    <row r="528" spans="2:2" ht="12.75">
      <c r="B528" s="38"/>
    </row>
    <row r="529" spans="2:2" ht="12.75">
      <c r="B529" s="38"/>
    </row>
    <row r="530" spans="2:2" ht="12.75">
      <c r="B530" s="38"/>
    </row>
    <row r="531" spans="2:2" ht="12.75">
      <c r="B531" s="38"/>
    </row>
    <row r="532" spans="2:2" ht="12.75">
      <c r="B532" s="38"/>
    </row>
    <row r="533" spans="2:2" ht="12.75">
      <c r="B533" s="38"/>
    </row>
    <row r="534" spans="2:2" ht="12.75">
      <c r="B534" s="38"/>
    </row>
    <row r="535" spans="2:2" ht="12.75">
      <c r="B535" s="38"/>
    </row>
    <row r="536" spans="2:2" ht="12.75">
      <c r="B536" s="38"/>
    </row>
    <row r="537" spans="2:2" ht="12.75">
      <c r="B537" s="38"/>
    </row>
    <row r="538" spans="2:2" ht="12.75">
      <c r="B538" s="38"/>
    </row>
    <row r="539" spans="2:2" ht="12.75">
      <c r="B539" s="38"/>
    </row>
    <row r="540" spans="2:2" ht="12.75">
      <c r="B540" s="38"/>
    </row>
    <row r="541" spans="2:2" ht="12.75">
      <c r="B541" s="38"/>
    </row>
    <row r="542" spans="2:2" ht="12.75">
      <c r="B542" s="38"/>
    </row>
    <row r="543" spans="2:2" ht="12.75">
      <c r="B543" s="38"/>
    </row>
    <row r="544" spans="2:2" ht="12.75">
      <c r="B544" s="38"/>
    </row>
    <row r="545" spans="2:2" ht="12.75">
      <c r="B545" s="38"/>
    </row>
    <row r="546" spans="2:2" ht="12.75">
      <c r="B546" s="38"/>
    </row>
    <row r="547" spans="2:2" ht="12.75">
      <c r="B547" s="38"/>
    </row>
    <row r="548" spans="2:2" ht="12.75">
      <c r="B548" s="38"/>
    </row>
    <row r="549" spans="2:2" ht="12.75">
      <c r="B549" s="38"/>
    </row>
    <row r="550" spans="2:2" ht="12.75">
      <c r="B550" s="38"/>
    </row>
    <row r="551" spans="2:2" ht="12.75">
      <c r="B551" s="38"/>
    </row>
    <row r="552" spans="2:2" ht="12.75">
      <c r="B552" s="38"/>
    </row>
    <row r="553" spans="2:2" ht="12.75">
      <c r="B553" s="38"/>
    </row>
    <row r="554" spans="2:2" ht="12.75">
      <c r="B554" s="38"/>
    </row>
    <row r="555" spans="2:2" ht="12.75">
      <c r="B555" s="38"/>
    </row>
    <row r="556" spans="2:2" ht="12.75">
      <c r="B556" s="38"/>
    </row>
    <row r="557" spans="2:2" ht="12.75">
      <c r="B557" s="38"/>
    </row>
    <row r="558" spans="2:2" ht="12.75">
      <c r="B558" s="38"/>
    </row>
    <row r="559" spans="2:2" ht="12.75">
      <c r="B559" s="38"/>
    </row>
    <row r="560" spans="2:2" ht="12.75">
      <c r="B560" s="38"/>
    </row>
    <row r="561" spans="2:2" ht="12.75">
      <c r="B561" s="38"/>
    </row>
    <row r="562" spans="2:2" ht="12.75">
      <c r="B562" s="38"/>
    </row>
    <row r="563" spans="2:2" ht="12.75">
      <c r="B563" s="38"/>
    </row>
    <row r="564" spans="2:2" ht="12.75">
      <c r="B564" s="38"/>
    </row>
    <row r="565" spans="2:2" ht="12.75">
      <c r="B565" s="38"/>
    </row>
    <row r="566" spans="2:2" ht="12.75">
      <c r="B566" s="38"/>
    </row>
    <row r="567" spans="2:2" ht="12.75">
      <c r="B567" s="38"/>
    </row>
    <row r="568" spans="2:2" ht="12.75">
      <c r="B568" s="38"/>
    </row>
    <row r="569" spans="2:2" ht="12.75">
      <c r="B569" s="38"/>
    </row>
    <row r="570" spans="2:2" ht="12.75">
      <c r="B570" s="38"/>
    </row>
    <row r="571" spans="2:2" ht="12.75">
      <c r="B571" s="38"/>
    </row>
    <row r="572" spans="2:2" ht="12.75">
      <c r="B572" s="38"/>
    </row>
    <row r="573" spans="2:2" ht="12.75">
      <c r="B573" s="38"/>
    </row>
    <row r="574" spans="2:2" ht="12.75">
      <c r="B574" s="38"/>
    </row>
    <row r="575" spans="2:2" ht="12.75">
      <c r="B575" s="38"/>
    </row>
    <row r="576" spans="2:2" ht="12.75">
      <c r="B576" s="38"/>
    </row>
    <row r="577" spans="2:2" ht="12.75">
      <c r="B577" s="38"/>
    </row>
    <row r="578" spans="2:2" ht="12.75">
      <c r="B578" s="38"/>
    </row>
    <row r="579" spans="2:2" ht="12.75">
      <c r="B579" s="38"/>
    </row>
    <row r="580" spans="2:2" ht="12.75">
      <c r="B580" s="38"/>
    </row>
    <row r="581" spans="2:2" ht="12.75">
      <c r="B581" s="38"/>
    </row>
    <row r="582" spans="2:2" ht="12.75">
      <c r="B582" s="38"/>
    </row>
    <row r="583" spans="2:2" ht="12.75">
      <c r="B583" s="38"/>
    </row>
    <row r="584" spans="2:2" ht="12.75">
      <c r="B584" s="38"/>
    </row>
    <row r="585" spans="2:2" ht="12.75">
      <c r="B585" s="38"/>
    </row>
    <row r="586" spans="2:2" ht="12.75">
      <c r="B586" s="38"/>
    </row>
    <row r="587" spans="2:2" ht="12.75">
      <c r="B587" s="38"/>
    </row>
    <row r="588" spans="2:2" ht="12.75">
      <c r="B588" s="38"/>
    </row>
    <row r="589" spans="2:2" ht="12.75">
      <c r="B589" s="38"/>
    </row>
    <row r="590" spans="2:2" ht="12.75">
      <c r="B590" s="38"/>
    </row>
    <row r="591" spans="2:2" ht="12.75">
      <c r="B591" s="38"/>
    </row>
    <row r="592" spans="2:2" ht="12.75">
      <c r="B592" s="38"/>
    </row>
    <row r="593" spans="2:2" ht="12.75">
      <c r="B593" s="38"/>
    </row>
    <row r="594" spans="2:2" ht="12.75">
      <c r="B594" s="38"/>
    </row>
    <row r="595" spans="2:2" ht="12.75">
      <c r="B595" s="38"/>
    </row>
    <row r="596" spans="2:2" ht="12.75">
      <c r="B596" s="38"/>
    </row>
    <row r="597" spans="2:2" ht="12.75">
      <c r="B597" s="38"/>
    </row>
    <row r="598" spans="2:2" ht="12.75">
      <c r="B598" s="38"/>
    </row>
    <row r="599" spans="2:2" ht="12.75">
      <c r="B599" s="38"/>
    </row>
    <row r="600" spans="2:2" ht="12.75">
      <c r="B600" s="38"/>
    </row>
    <row r="601" spans="2:2" ht="12.75">
      <c r="B601" s="38"/>
    </row>
    <row r="602" spans="2:2" ht="12.75">
      <c r="B602" s="38"/>
    </row>
    <row r="603" spans="2:2" ht="12.75">
      <c r="B603" s="38"/>
    </row>
    <row r="604" spans="2:2" ht="12.75">
      <c r="B604" s="38"/>
    </row>
    <row r="605" spans="2:2" ht="12.75">
      <c r="B605" s="38"/>
    </row>
    <row r="606" spans="2:2" ht="12.75">
      <c r="B606" s="38"/>
    </row>
    <row r="607" spans="2:2" ht="12.75">
      <c r="B607" s="38"/>
    </row>
    <row r="608" spans="2:2" ht="12.75">
      <c r="B608" s="38"/>
    </row>
    <row r="609" spans="2:2" ht="12.75">
      <c r="B609" s="38"/>
    </row>
    <row r="610" spans="2:2" ht="12.75">
      <c r="B610" s="38"/>
    </row>
    <row r="611" spans="2:2" ht="12.75">
      <c r="B611" s="38"/>
    </row>
    <row r="612" spans="2:2" ht="12.75">
      <c r="B612" s="38"/>
    </row>
    <row r="613" spans="2:2" ht="12.75">
      <c r="B613" s="38"/>
    </row>
    <row r="614" spans="2:2" ht="12.75">
      <c r="B614" s="38"/>
    </row>
    <row r="615" spans="2:2" ht="12.75">
      <c r="B615" s="38"/>
    </row>
    <row r="616" spans="2:2" ht="12.75">
      <c r="B616" s="38"/>
    </row>
    <row r="617" spans="2:2" ht="12.75">
      <c r="B617" s="38"/>
    </row>
    <row r="618" spans="2:2" ht="12.75">
      <c r="B618" s="38"/>
    </row>
    <row r="619" spans="2:2" ht="12.75">
      <c r="B619" s="38"/>
    </row>
    <row r="620" spans="2:2" ht="12.75">
      <c r="B620" s="38"/>
    </row>
    <row r="621" spans="2:2" ht="12.75">
      <c r="B621" s="38"/>
    </row>
    <row r="622" spans="2:2" ht="12.75">
      <c r="B622" s="38"/>
    </row>
    <row r="623" spans="2:2" ht="12.75">
      <c r="B623" s="38"/>
    </row>
    <row r="624" spans="2:2" ht="12.75">
      <c r="B624" s="38"/>
    </row>
    <row r="625" spans="2:2" ht="12.75">
      <c r="B625" s="38"/>
    </row>
    <row r="626" spans="2:2" ht="12.75">
      <c r="B626" s="38"/>
    </row>
    <row r="627" spans="2:2" ht="12.75">
      <c r="B627" s="38"/>
    </row>
    <row r="628" spans="2:2" ht="12.75">
      <c r="B628" s="38"/>
    </row>
    <row r="629" spans="2:2" ht="12.75">
      <c r="B629" s="38"/>
    </row>
    <row r="630" spans="2:2" ht="12.75">
      <c r="B630" s="38"/>
    </row>
    <row r="631" spans="2:2" ht="12.75">
      <c r="B631" s="38"/>
    </row>
    <row r="632" spans="2:2" ht="12.75">
      <c r="B632" s="38"/>
    </row>
    <row r="633" spans="2:2" ht="12.75">
      <c r="B633" s="38"/>
    </row>
    <row r="634" spans="2:2" ht="12.75">
      <c r="B634" s="38"/>
    </row>
    <row r="635" spans="2:2" ht="12.75">
      <c r="B635" s="38"/>
    </row>
    <row r="636" spans="2:2" ht="12.75">
      <c r="B636" s="38"/>
    </row>
    <row r="637" spans="2:2" ht="12.75">
      <c r="B637" s="38"/>
    </row>
    <row r="638" spans="2:2" ht="12.75">
      <c r="B638" s="38"/>
    </row>
    <row r="639" spans="2:2" ht="12.75">
      <c r="B639" s="38"/>
    </row>
    <row r="640" spans="2:2" ht="12.75">
      <c r="B640" s="38"/>
    </row>
    <row r="641" spans="2:2" ht="12.75">
      <c r="B641" s="38"/>
    </row>
    <row r="642" spans="2:2" ht="12.75">
      <c r="B642" s="38"/>
    </row>
    <row r="643" spans="2:2" ht="12.75">
      <c r="B643" s="38"/>
    </row>
    <row r="644" spans="2:2" ht="12.75">
      <c r="B644" s="38"/>
    </row>
    <row r="645" spans="2:2" ht="12.75">
      <c r="B645" s="38"/>
    </row>
    <row r="646" spans="2:2" ht="12.75">
      <c r="B646" s="38"/>
    </row>
    <row r="647" spans="2:2" ht="12.75">
      <c r="B647" s="38"/>
    </row>
    <row r="648" spans="2:2" ht="12.75">
      <c r="B648" s="38"/>
    </row>
    <row r="649" spans="2:2" ht="12.75">
      <c r="B649" s="38"/>
    </row>
    <row r="650" spans="2:2" ht="12.75">
      <c r="B650" s="38"/>
    </row>
    <row r="651" spans="2:2" ht="12.75">
      <c r="B651" s="38"/>
    </row>
    <row r="652" spans="2:2" ht="12.75">
      <c r="B652" s="38"/>
    </row>
    <row r="653" spans="2:2" ht="12.75">
      <c r="B653" s="38"/>
    </row>
    <row r="654" spans="2:2" ht="12.75">
      <c r="B654" s="38"/>
    </row>
    <row r="655" spans="2:2" ht="12.75">
      <c r="B655" s="38"/>
    </row>
    <row r="656" spans="2:2" ht="12.75">
      <c r="B656" s="38"/>
    </row>
    <row r="657" spans="2:2" ht="12.75">
      <c r="B657" s="38"/>
    </row>
    <row r="658" spans="2:2" ht="12.75">
      <c r="B658" s="38"/>
    </row>
    <row r="659" spans="2:2" ht="12.75">
      <c r="B659" s="38"/>
    </row>
    <row r="660" spans="2:2" ht="12.75">
      <c r="B660" s="38"/>
    </row>
    <row r="661" spans="2:2" ht="12.75">
      <c r="B661" s="38"/>
    </row>
    <row r="662" spans="2:2" ht="12.75">
      <c r="B662" s="38"/>
    </row>
    <row r="663" spans="2:2" ht="12.75">
      <c r="B663" s="38"/>
    </row>
    <row r="664" spans="2:2" ht="12.75">
      <c r="B664" s="38"/>
    </row>
    <row r="665" spans="2:2" ht="12.75">
      <c r="B665" s="38"/>
    </row>
    <row r="666" spans="2:2" ht="12.75">
      <c r="B666" s="38"/>
    </row>
    <row r="667" spans="2:2" ht="12.75">
      <c r="B667" s="38"/>
    </row>
    <row r="668" spans="2:2" ht="12.75">
      <c r="B668" s="38"/>
    </row>
    <row r="669" spans="2:2" ht="12.75">
      <c r="B669" s="38"/>
    </row>
    <row r="670" spans="2:2" ht="12.75">
      <c r="B670" s="38"/>
    </row>
    <row r="671" spans="2:2" ht="12.75">
      <c r="B671" s="38"/>
    </row>
    <row r="672" spans="2:2" ht="12.75">
      <c r="B672" s="38"/>
    </row>
    <row r="673" spans="2:2" ht="12.75">
      <c r="B673" s="38"/>
    </row>
    <row r="674" spans="2:2" ht="12.75">
      <c r="B674" s="38"/>
    </row>
    <row r="675" spans="2:2" ht="12.75">
      <c r="B675" s="38"/>
    </row>
    <row r="676" spans="2:2" ht="12.75">
      <c r="B676" s="38"/>
    </row>
    <row r="677" spans="2:2" ht="12.75">
      <c r="B677" s="38"/>
    </row>
    <row r="678" spans="2:2" ht="12.75">
      <c r="B678" s="38"/>
    </row>
    <row r="679" spans="2:2" ht="12.75">
      <c r="B679" s="38"/>
    </row>
    <row r="680" spans="2:2" ht="12.75">
      <c r="B680" s="38"/>
    </row>
    <row r="681" spans="2:2" ht="12.75">
      <c r="B681" s="38"/>
    </row>
    <row r="682" spans="2:2" ht="12.75">
      <c r="B682" s="38"/>
    </row>
    <row r="683" spans="2:2" ht="12.75">
      <c r="B683" s="38"/>
    </row>
    <row r="684" spans="2:2" ht="12.75">
      <c r="B684" s="38"/>
    </row>
    <row r="685" spans="2:2" ht="12.75">
      <c r="B685" s="38"/>
    </row>
    <row r="686" spans="2:2" ht="12.75">
      <c r="B686" s="38"/>
    </row>
    <row r="687" spans="2:2" ht="12.75">
      <c r="B687" s="38"/>
    </row>
    <row r="688" spans="2:2" ht="12.75">
      <c r="B688" s="38"/>
    </row>
    <row r="689" spans="2:2" ht="12.75">
      <c r="B689" s="38"/>
    </row>
    <row r="690" spans="2:2" ht="12.75">
      <c r="B690" s="38"/>
    </row>
    <row r="691" spans="2:2" ht="12.75">
      <c r="B691" s="38"/>
    </row>
    <row r="692" spans="2:2" ht="12.75">
      <c r="B692" s="38"/>
    </row>
    <row r="693" spans="2:2" ht="12.75">
      <c r="B693" s="38"/>
    </row>
    <row r="694" spans="2:2" ht="12.75">
      <c r="B694" s="38"/>
    </row>
    <row r="695" spans="2:2" ht="12.75">
      <c r="B695" s="38"/>
    </row>
    <row r="696" spans="2:2" ht="12.75">
      <c r="B696" s="38"/>
    </row>
    <row r="697" spans="2:2" ht="12.75">
      <c r="B697" s="38"/>
    </row>
    <row r="698" spans="2:2" ht="12.75">
      <c r="B698" s="38"/>
    </row>
    <row r="699" spans="2:2" ht="12.75">
      <c r="B699" s="38"/>
    </row>
    <row r="700" spans="2:2" ht="12.75">
      <c r="B700" s="38"/>
    </row>
    <row r="701" spans="2:2" ht="12.75">
      <c r="B701" s="38"/>
    </row>
    <row r="702" spans="2:2" ht="12.75">
      <c r="B702" s="38"/>
    </row>
    <row r="703" spans="2:2" ht="12.75">
      <c r="B703" s="38"/>
    </row>
    <row r="704" spans="2:2" ht="12.75">
      <c r="B704" s="38"/>
    </row>
    <row r="705" spans="2:2" ht="12.75">
      <c r="B705" s="38"/>
    </row>
    <row r="706" spans="2:2" ht="12.75">
      <c r="B706" s="38"/>
    </row>
    <row r="707" spans="2:2" ht="12.75">
      <c r="B707" s="38"/>
    </row>
    <row r="708" spans="2:2" ht="12.75">
      <c r="B708" s="38"/>
    </row>
    <row r="709" spans="2:2" ht="12.75">
      <c r="B709" s="38"/>
    </row>
    <row r="710" spans="2:2" ht="12.75">
      <c r="B710" s="38"/>
    </row>
    <row r="711" spans="2:2" ht="12.75">
      <c r="B711" s="38"/>
    </row>
    <row r="712" spans="2:2" ht="12.75">
      <c r="B712" s="38"/>
    </row>
    <row r="713" spans="2:2" ht="12.75">
      <c r="B713" s="38"/>
    </row>
    <row r="714" spans="2:2" ht="12.75">
      <c r="B714" s="38"/>
    </row>
    <row r="715" spans="2:2" ht="12.75">
      <c r="B715" s="38"/>
    </row>
    <row r="716" spans="2:2" ht="12.75">
      <c r="B716" s="38"/>
    </row>
    <row r="717" spans="2:2" ht="12.75">
      <c r="B717" s="38"/>
    </row>
    <row r="718" spans="2:2" ht="12.75">
      <c r="B718" s="38"/>
    </row>
    <row r="719" spans="2:2" ht="12.75">
      <c r="B719" s="38"/>
    </row>
    <row r="720" spans="2:2" ht="12.75">
      <c r="B720" s="38"/>
    </row>
    <row r="721" spans="2:2" ht="12.75">
      <c r="B721" s="38"/>
    </row>
    <row r="722" spans="2:2" ht="12.75">
      <c r="B722" s="38"/>
    </row>
    <row r="723" spans="2:2" ht="12.75">
      <c r="B723" s="38"/>
    </row>
    <row r="724" spans="2:2" ht="12.75">
      <c r="B724" s="38"/>
    </row>
    <row r="725" spans="2:2" ht="12.75">
      <c r="B725" s="38"/>
    </row>
    <row r="726" spans="2:2" ht="12.75">
      <c r="B726" s="38"/>
    </row>
    <row r="727" spans="2:2" ht="12.75">
      <c r="B727" s="38"/>
    </row>
    <row r="728" spans="2:2" ht="12.75">
      <c r="B728" s="38"/>
    </row>
    <row r="729" spans="2:2" ht="12.75">
      <c r="B729" s="38"/>
    </row>
    <row r="730" spans="2:2" ht="12.75">
      <c r="B730" s="38"/>
    </row>
    <row r="731" spans="2:2" ht="12.75">
      <c r="B731" s="38"/>
    </row>
    <row r="732" spans="2:2" ht="12.75">
      <c r="B732" s="38"/>
    </row>
    <row r="733" spans="2:2" ht="12.75">
      <c r="B733" s="38"/>
    </row>
    <row r="734" spans="2:2" ht="12.75">
      <c r="B734" s="38"/>
    </row>
    <row r="735" spans="2:2" ht="12.75">
      <c r="B735" s="38"/>
    </row>
    <row r="736" spans="2:2" ht="12.75">
      <c r="B736" s="38"/>
    </row>
    <row r="737" spans="2:2" ht="12.75">
      <c r="B737" s="38"/>
    </row>
    <row r="738" spans="2:2" ht="12.75">
      <c r="B738" s="38"/>
    </row>
    <row r="739" spans="2:2" ht="12.75">
      <c r="B739" s="38"/>
    </row>
    <row r="740" spans="2:2" ht="12.75">
      <c r="B740" s="38"/>
    </row>
    <row r="741" spans="2:2" ht="12.75">
      <c r="B741" s="38"/>
    </row>
    <row r="742" spans="2:2" ht="12.75">
      <c r="B742" s="38"/>
    </row>
    <row r="743" spans="2:2" ht="12.75">
      <c r="B743" s="38"/>
    </row>
    <row r="744" spans="2:2" ht="12.75">
      <c r="B744" s="38"/>
    </row>
    <row r="745" spans="2:2" ht="12.75">
      <c r="B745" s="38"/>
    </row>
    <row r="746" spans="2:2" ht="12.75">
      <c r="B746" s="38"/>
    </row>
    <row r="747" spans="2:2" ht="12.75">
      <c r="B747" s="38"/>
    </row>
    <row r="748" spans="2:2" ht="12.75">
      <c r="B748" s="38"/>
    </row>
    <row r="749" spans="2:2" ht="12.75">
      <c r="B749" s="38"/>
    </row>
    <row r="750" spans="2:2" ht="12.75">
      <c r="B750" s="38"/>
    </row>
    <row r="751" spans="2:2" ht="12.75">
      <c r="B751" s="38"/>
    </row>
    <row r="752" spans="2:2" ht="12.75">
      <c r="B752" s="38"/>
    </row>
    <row r="753" spans="2:2" ht="12.75">
      <c r="B753" s="38"/>
    </row>
    <row r="754" spans="2:2" ht="12.75">
      <c r="B754" s="38"/>
    </row>
    <row r="755" spans="2:2" ht="12.75">
      <c r="B755" s="38"/>
    </row>
    <row r="756" spans="2:2" ht="12.75">
      <c r="B756" s="38"/>
    </row>
    <row r="757" spans="2:2" ht="12.75">
      <c r="B757" s="38"/>
    </row>
    <row r="758" spans="2:2" ht="12.75">
      <c r="B758" s="38"/>
    </row>
    <row r="759" spans="2:2" ht="12.75">
      <c r="B759" s="38"/>
    </row>
    <row r="760" spans="2:2" ht="12.75">
      <c r="B760" s="38"/>
    </row>
    <row r="761" spans="2:2" ht="12.75">
      <c r="B761" s="38"/>
    </row>
    <row r="762" spans="2:2" ht="12.75">
      <c r="B762" s="38"/>
    </row>
    <row r="763" spans="2:2" ht="12.75">
      <c r="B763" s="38"/>
    </row>
    <row r="764" spans="2:2" ht="12.75">
      <c r="B764" s="38"/>
    </row>
    <row r="765" spans="2:2" ht="12.75">
      <c r="B765" s="38"/>
    </row>
    <row r="766" spans="2:2" ht="12.75">
      <c r="B766" s="38"/>
    </row>
    <row r="767" spans="2:2" ht="12.75">
      <c r="B767" s="38"/>
    </row>
    <row r="768" spans="2:2" ht="12.75">
      <c r="B768" s="38"/>
    </row>
    <row r="769" spans="2:2" ht="12.75">
      <c r="B769" s="38"/>
    </row>
    <row r="770" spans="2:2" ht="12.75">
      <c r="B770" s="38"/>
    </row>
    <row r="771" spans="2:2" ht="12.75">
      <c r="B771" s="38"/>
    </row>
    <row r="772" spans="2:2" ht="12.75">
      <c r="B772" s="38"/>
    </row>
    <row r="773" spans="2:2" ht="12.75">
      <c r="B773" s="38"/>
    </row>
    <row r="774" spans="2:2" ht="12.75">
      <c r="B774" s="38"/>
    </row>
    <row r="775" spans="2:2" ht="12.75">
      <c r="B775" s="38"/>
    </row>
    <row r="776" spans="2:2" ht="12.75">
      <c r="B776" s="38"/>
    </row>
    <row r="777" spans="2:2" ht="12.75">
      <c r="B777" s="38"/>
    </row>
    <row r="778" spans="2:2" ht="12.75">
      <c r="B778" s="38"/>
    </row>
    <row r="779" spans="2:2" ht="12.75">
      <c r="B779" s="38"/>
    </row>
    <row r="780" spans="2:2" ht="12.75">
      <c r="B780" s="38"/>
    </row>
    <row r="781" spans="2:2" ht="12.75">
      <c r="B781" s="38"/>
    </row>
    <row r="782" spans="2:2" ht="12.75">
      <c r="B782" s="38"/>
    </row>
    <row r="783" spans="2:2" ht="12.75">
      <c r="B783" s="38"/>
    </row>
    <row r="784" spans="2:2" ht="12.75">
      <c r="B784" s="38"/>
    </row>
    <row r="785" spans="2:2" ht="12.75">
      <c r="B785" s="38"/>
    </row>
    <row r="786" spans="2:2" ht="12.75">
      <c r="B786" s="38"/>
    </row>
    <row r="787" spans="2:2" ht="12.75">
      <c r="B787" s="38"/>
    </row>
    <row r="788" spans="2:2" ht="12.75">
      <c r="B788" s="38"/>
    </row>
    <row r="789" spans="2:2" ht="12.75">
      <c r="B789" s="38"/>
    </row>
    <row r="790" spans="2:2" ht="12.75">
      <c r="B790" s="38"/>
    </row>
    <row r="791" spans="2:2" ht="12.75">
      <c r="B791" s="38"/>
    </row>
    <row r="792" spans="2:2" ht="12.75">
      <c r="B792" s="38"/>
    </row>
    <row r="793" spans="2:2" ht="12.75">
      <c r="B793" s="38"/>
    </row>
    <row r="794" spans="2:2" ht="12.75">
      <c r="B794" s="38"/>
    </row>
    <row r="795" spans="2:2" ht="12.75">
      <c r="B795" s="38"/>
    </row>
    <row r="796" spans="2:2" ht="12.75">
      <c r="B796" s="38"/>
    </row>
    <row r="797" spans="2:2" ht="12.75">
      <c r="B797" s="38"/>
    </row>
    <row r="798" spans="2:2" ht="12.75">
      <c r="B798" s="38"/>
    </row>
    <row r="799" spans="2:2" ht="12.75">
      <c r="B799" s="38"/>
    </row>
    <row r="800" spans="2:2" ht="12.75">
      <c r="B800" s="38"/>
    </row>
    <row r="801" spans="2:2" ht="12.75">
      <c r="B801" s="38"/>
    </row>
    <row r="802" spans="2:2" ht="12.75">
      <c r="B802" s="38"/>
    </row>
    <row r="803" spans="2:2" ht="12.75">
      <c r="B803" s="38"/>
    </row>
    <row r="804" spans="2:2" ht="12.75">
      <c r="B804" s="38"/>
    </row>
    <row r="805" spans="2:2" ht="12.75">
      <c r="B805" s="38"/>
    </row>
    <row r="806" spans="2:2" ht="12.75">
      <c r="B806" s="38"/>
    </row>
    <row r="807" spans="2:2" ht="12.75">
      <c r="B807" s="38"/>
    </row>
    <row r="808" spans="2:2" ht="12.75">
      <c r="B808" s="38"/>
    </row>
    <row r="809" spans="2:2" ht="12.75">
      <c r="B809" s="38"/>
    </row>
    <row r="810" spans="2:2" ht="12.75">
      <c r="B810" s="38"/>
    </row>
    <row r="811" spans="2:2" ht="12.75">
      <c r="B811" s="38"/>
    </row>
    <row r="812" spans="2:2" ht="12.75">
      <c r="B812" s="38"/>
    </row>
    <row r="813" spans="2:2" ht="12.75">
      <c r="B813" s="38"/>
    </row>
    <row r="814" spans="2:2" ht="12.75">
      <c r="B814" s="38"/>
    </row>
    <row r="815" spans="2:2" ht="12.75">
      <c r="B815" s="38"/>
    </row>
    <row r="816" spans="2:2" ht="12.75">
      <c r="B816" s="38"/>
    </row>
    <row r="817" spans="2:2" ht="12.75">
      <c r="B817" s="38"/>
    </row>
    <row r="818" spans="2:2" ht="12.75">
      <c r="B818" s="38"/>
    </row>
    <row r="819" spans="2:2" ht="12.75">
      <c r="B819" s="38"/>
    </row>
    <row r="820" spans="2:2" ht="12.75">
      <c r="B820" s="38"/>
    </row>
    <row r="821" spans="2:2" ht="12.75">
      <c r="B821" s="38"/>
    </row>
    <row r="822" spans="2:2" ht="12.75">
      <c r="B822" s="38"/>
    </row>
    <row r="823" spans="2:2" ht="12.75">
      <c r="B823" s="38"/>
    </row>
    <row r="824" spans="2:2" ht="12.75">
      <c r="B824" s="38"/>
    </row>
    <row r="825" spans="2:2" ht="12.75">
      <c r="B825" s="38"/>
    </row>
    <row r="826" spans="2:2" ht="12.75">
      <c r="B826" s="38"/>
    </row>
    <row r="827" spans="2:2" ht="12.75">
      <c r="B827" s="38"/>
    </row>
    <row r="828" spans="2:2" ht="12.75">
      <c r="B828" s="38"/>
    </row>
    <row r="829" spans="2:2" ht="12.75">
      <c r="B829" s="38"/>
    </row>
    <row r="830" spans="2:2" ht="12.75">
      <c r="B830" s="38"/>
    </row>
    <row r="831" spans="2:2" ht="12.75">
      <c r="B831" s="38"/>
    </row>
    <row r="832" spans="2:2" ht="12.75">
      <c r="B832" s="38"/>
    </row>
    <row r="833" spans="2:2" ht="12.75">
      <c r="B833" s="38"/>
    </row>
    <row r="834" spans="2:2" ht="12.75">
      <c r="B834" s="38"/>
    </row>
    <row r="835" spans="2:2" ht="12.75">
      <c r="B835" s="38"/>
    </row>
    <row r="836" spans="2:2" ht="12.75">
      <c r="B836" s="38"/>
    </row>
    <row r="837" spans="2:2" ht="12.75">
      <c r="B837" s="38"/>
    </row>
    <row r="838" spans="2:2" ht="12.75">
      <c r="B838" s="38"/>
    </row>
    <row r="839" spans="2:2" ht="12.75">
      <c r="B839" s="38"/>
    </row>
    <row r="840" spans="2:2" ht="12.75">
      <c r="B840" s="38"/>
    </row>
    <row r="841" spans="2:2" ht="12.75">
      <c r="B841" s="38"/>
    </row>
    <row r="842" spans="2:2" ht="12.75">
      <c r="B842" s="38"/>
    </row>
    <row r="843" spans="2:2" ht="12.75">
      <c r="B843" s="38"/>
    </row>
    <row r="844" spans="2:2" ht="12.75">
      <c r="B844" s="38"/>
    </row>
    <row r="845" spans="2:2" ht="12.75">
      <c r="B845" s="38"/>
    </row>
    <row r="846" spans="2:2" ht="12.75">
      <c r="B846" s="38"/>
    </row>
    <row r="847" spans="2:2" ht="12.75">
      <c r="B847" s="38"/>
    </row>
    <row r="848" spans="2:2" ht="12.75">
      <c r="B848" s="38"/>
    </row>
    <row r="849" spans="2:2" ht="12.75">
      <c r="B849" s="38"/>
    </row>
    <row r="850" spans="2:2" ht="12.75">
      <c r="B850" s="38"/>
    </row>
    <row r="851" spans="2:2" ht="12.75">
      <c r="B851" s="38"/>
    </row>
    <row r="852" spans="2:2" ht="12.75">
      <c r="B852" s="38"/>
    </row>
    <row r="853" spans="2:2" ht="12.75">
      <c r="B853" s="38"/>
    </row>
    <row r="854" spans="2:2" ht="12.75">
      <c r="B854" s="38"/>
    </row>
    <row r="855" spans="2:2" ht="12.75">
      <c r="B855" s="38"/>
    </row>
    <row r="856" spans="2:2" ht="12.75">
      <c r="B856" s="38"/>
    </row>
    <row r="857" spans="2:2" ht="12.75">
      <c r="B857" s="38"/>
    </row>
    <row r="858" spans="2:2" ht="12.75">
      <c r="B858" s="38"/>
    </row>
    <row r="859" spans="2:2" ht="12.75">
      <c r="B859" s="38"/>
    </row>
    <row r="860" spans="2:2" ht="12.75">
      <c r="B860" s="38"/>
    </row>
    <row r="861" spans="2:2" ht="12.75">
      <c r="B861" s="38"/>
    </row>
    <row r="862" spans="2:2" ht="12.75">
      <c r="B862" s="38"/>
    </row>
    <row r="863" spans="2:2" ht="12.75">
      <c r="B863" s="38"/>
    </row>
    <row r="864" spans="2:2" ht="12.75">
      <c r="B864" s="38"/>
    </row>
    <row r="865" spans="2:2" ht="12.75">
      <c r="B865" s="38"/>
    </row>
    <row r="866" spans="2:2" ht="12.75">
      <c r="B866" s="38"/>
    </row>
    <row r="867" spans="2:2" ht="12.75">
      <c r="B867" s="38"/>
    </row>
    <row r="868" spans="2:2" ht="12.75">
      <c r="B868" s="38"/>
    </row>
    <row r="869" spans="2:2" ht="12.75">
      <c r="B869" s="38"/>
    </row>
    <row r="870" spans="2:2" ht="12.75">
      <c r="B870" s="38"/>
    </row>
    <row r="871" spans="2:2" ht="12.75">
      <c r="B871" s="38"/>
    </row>
    <row r="872" spans="2:2" ht="12.75">
      <c r="B872" s="38"/>
    </row>
    <row r="873" spans="2:2" ht="12.75">
      <c r="B873" s="38"/>
    </row>
    <row r="874" spans="2:2" ht="12.75">
      <c r="B874" s="38"/>
    </row>
    <row r="875" spans="2:2" ht="12.75">
      <c r="B875" s="38"/>
    </row>
    <row r="876" spans="2:2" ht="12.75">
      <c r="B876" s="38"/>
    </row>
    <row r="877" spans="2:2" ht="12.75">
      <c r="B877" s="38"/>
    </row>
    <row r="878" spans="2:2" ht="12.75">
      <c r="B878" s="38"/>
    </row>
    <row r="879" spans="2:2" ht="12.75">
      <c r="B879" s="38"/>
    </row>
    <row r="880" spans="2:2" ht="12.75">
      <c r="B880" s="38"/>
    </row>
    <row r="881" spans="2:2" ht="12.75">
      <c r="B881" s="38"/>
    </row>
    <row r="882" spans="2:2" ht="12.75">
      <c r="B882" s="38"/>
    </row>
    <row r="883" spans="2:2" ht="12.75">
      <c r="B883" s="38"/>
    </row>
    <row r="884" spans="2:2" ht="12.75">
      <c r="B884" s="38"/>
    </row>
    <row r="885" spans="2:2" ht="12.75">
      <c r="B885" s="38"/>
    </row>
    <row r="886" spans="2:2" ht="12.75">
      <c r="B886" s="38"/>
    </row>
    <row r="887" spans="2:2" ht="12.75">
      <c r="B887" s="38"/>
    </row>
    <row r="888" spans="2:2" ht="12.75">
      <c r="B888" s="38"/>
    </row>
    <row r="889" spans="2:2" ht="12.75">
      <c r="B889" s="38"/>
    </row>
    <row r="890" spans="2:2" ht="12.75">
      <c r="B890" s="38"/>
    </row>
    <row r="891" spans="2:2" ht="12.75">
      <c r="B891" s="38"/>
    </row>
    <row r="892" spans="2:2" ht="12.75">
      <c r="B892" s="38"/>
    </row>
    <row r="893" spans="2:2" ht="12.75">
      <c r="B893" s="38"/>
    </row>
    <row r="894" spans="2:2" ht="12.75">
      <c r="B894" s="38"/>
    </row>
    <row r="895" spans="2:2" ht="12.75">
      <c r="B895" s="38"/>
    </row>
    <row r="896" spans="2:2" ht="12.75">
      <c r="B896" s="38"/>
    </row>
    <row r="897" spans="2:2" ht="12.75">
      <c r="B897" s="38"/>
    </row>
    <row r="898" spans="2:2" ht="12.75">
      <c r="B898" s="38"/>
    </row>
    <row r="899" spans="2:2" ht="12.75">
      <c r="B899" s="38"/>
    </row>
    <row r="900" spans="2:2" ht="12.75">
      <c r="B900" s="38"/>
    </row>
    <row r="901" spans="2:2" ht="12.75">
      <c r="B901" s="38"/>
    </row>
    <row r="902" spans="2:2" ht="12.75">
      <c r="B902" s="38"/>
    </row>
    <row r="903" spans="2:2" ht="12.75">
      <c r="B903" s="38"/>
    </row>
    <row r="904" spans="2:2" ht="12.75">
      <c r="B904" s="38"/>
    </row>
    <row r="905" spans="2:2" ht="12.75">
      <c r="B905" s="38"/>
    </row>
    <row r="906" spans="2:2" ht="12.75">
      <c r="B906" s="38"/>
    </row>
    <row r="907" spans="2:2" ht="12.75">
      <c r="B907" s="38"/>
    </row>
    <row r="908" spans="2:2" ht="12.75">
      <c r="B908" s="38"/>
    </row>
    <row r="909" spans="2:2" ht="12.75">
      <c r="B909" s="38"/>
    </row>
    <row r="910" spans="2:2" ht="12.75">
      <c r="B910" s="38"/>
    </row>
    <row r="911" spans="2:2" ht="12.75">
      <c r="B911" s="38"/>
    </row>
    <row r="912" spans="2:2" ht="12.75">
      <c r="B912" s="38"/>
    </row>
    <row r="913" spans="2:2" ht="12.75">
      <c r="B913" s="38"/>
    </row>
    <row r="914" spans="2:2" ht="12.75">
      <c r="B914" s="38"/>
    </row>
    <row r="915" spans="2:2" ht="12.75">
      <c r="B915" s="38"/>
    </row>
    <row r="916" spans="2:2" ht="12.75">
      <c r="B916" s="38"/>
    </row>
    <row r="917" spans="2:2" ht="12.75">
      <c r="B917" s="38"/>
    </row>
    <row r="918" spans="2:2" ht="12.75">
      <c r="B918" s="38"/>
    </row>
    <row r="919" spans="2:2" ht="12.75">
      <c r="B919" s="38"/>
    </row>
    <row r="920" spans="2:2" ht="12.75">
      <c r="B920" s="38"/>
    </row>
    <row r="921" spans="2:2" ht="12.75">
      <c r="B921" s="38"/>
    </row>
    <row r="922" spans="2:2" ht="12.75">
      <c r="B922" s="38"/>
    </row>
    <row r="923" spans="2:2" ht="12.75">
      <c r="B923" s="38"/>
    </row>
    <row r="924" spans="2:2" ht="12.75">
      <c r="B924" s="38"/>
    </row>
    <row r="925" spans="2:2" ht="12.75">
      <c r="B925" s="38"/>
    </row>
    <row r="926" spans="2:2" ht="12.75">
      <c r="B926" s="38"/>
    </row>
    <row r="927" spans="2:2" ht="12.75">
      <c r="B927" s="38"/>
    </row>
    <row r="928" spans="2:2" ht="12.75">
      <c r="B928" s="38"/>
    </row>
    <row r="929" spans="2:2" ht="12.75">
      <c r="B929" s="38"/>
    </row>
    <row r="930" spans="2:2" ht="12.75">
      <c r="B930" s="38"/>
    </row>
    <row r="931" spans="2:2" ht="12.75">
      <c r="B931" s="38"/>
    </row>
    <row r="932" spans="2:2" ht="12.75">
      <c r="B932" s="38"/>
    </row>
    <row r="933" spans="2:2" ht="12.75">
      <c r="B933" s="38"/>
    </row>
    <row r="934" spans="2:2" ht="12.75">
      <c r="B934" s="38"/>
    </row>
    <row r="935" spans="2:2" ht="12.75">
      <c r="B935" s="38"/>
    </row>
    <row r="936" spans="2:2" ht="12.75">
      <c r="B936" s="38"/>
    </row>
    <row r="937" spans="2:2" ht="12.75">
      <c r="B937" s="38"/>
    </row>
    <row r="938" spans="2:2" ht="12.75">
      <c r="B938" s="38"/>
    </row>
    <row r="939" spans="2:2" ht="12.75">
      <c r="B939" s="38"/>
    </row>
    <row r="940" spans="2:2" ht="12.75">
      <c r="B940" s="38"/>
    </row>
    <row r="941" spans="2:2" ht="12.75">
      <c r="B941" s="38"/>
    </row>
    <row r="942" spans="2:2" ht="12.75">
      <c r="B942" s="38"/>
    </row>
    <row r="943" spans="2:2" ht="12.75">
      <c r="B943" s="38"/>
    </row>
    <row r="944" spans="2:2" ht="12.75">
      <c r="B944" s="38"/>
    </row>
    <row r="945" spans="2:2" ht="12.75">
      <c r="B945" s="38"/>
    </row>
    <row r="946" spans="2:2" ht="12.75">
      <c r="B946" s="38"/>
    </row>
    <row r="947" spans="2:2" ht="12.75">
      <c r="B947" s="38"/>
    </row>
    <row r="948" spans="2:2" ht="12.75">
      <c r="B948" s="38"/>
    </row>
    <row r="949" spans="2:2" ht="12.75">
      <c r="B949" s="38"/>
    </row>
    <row r="950" spans="2:2" ht="12.75">
      <c r="B950" s="38"/>
    </row>
    <row r="951" spans="2:2" ht="12.75">
      <c r="B951" s="38"/>
    </row>
    <row r="952" spans="2:2" ht="12.75">
      <c r="B952" s="38"/>
    </row>
    <row r="953" spans="2:2" ht="12.75">
      <c r="B953" s="38"/>
    </row>
    <row r="954" spans="2:2" ht="12.75">
      <c r="B954" s="38"/>
    </row>
    <row r="955" spans="2:2" ht="12.75">
      <c r="B955" s="38"/>
    </row>
    <row r="956" spans="2:2" ht="12.75">
      <c r="B956" s="38"/>
    </row>
    <row r="957" spans="2:2" ht="12.75">
      <c r="B957" s="38"/>
    </row>
    <row r="958" spans="2:2" ht="12.75">
      <c r="B958" s="38"/>
    </row>
    <row r="959" spans="2:2" ht="12.75">
      <c r="B959" s="38"/>
    </row>
    <row r="960" spans="2:2" ht="12.75">
      <c r="B960" s="38"/>
    </row>
    <row r="961" spans="2:2" ht="12.75">
      <c r="B961" s="38"/>
    </row>
    <row r="962" spans="2:2" ht="12.75">
      <c r="B962" s="38"/>
    </row>
    <row r="963" spans="2:2" ht="12.75">
      <c r="B963" s="38"/>
    </row>
    <row r="964" spans="2:2" ht="12.75">
      <c r="B964" s="38"/>
    </row>
    <row r="965" spans="2:2" ht="12.75">
      <c r="B965" s="38"/>
    </row>
    <row r="966" spans="2:2" ht="12.75">
      <c r="B966" s="38"/>
    </row>
    <row r="967" spans="2:2" ht="12.75">
      <c r="B967" s="38"/>
    </row>
    <row r="968" spans="2:2" ht="12.75">
      <c r="B968" s="38"/>
    </row>
    <row r="969" spans="2:2" ht="12.75">
      <c r="B969" s="38"/>
    </row>
    <row r="970" spans="2:2" ht="12.75">
      <c r="B970" s="38"/>
    </row>
    <row r="971" spans="2:2" ht="12.75">
      <c r="B971" s="38"/>
    </row>
    <row r="972" spans="2:2" ht="12.75">
      <c r="B972" s="38"/>
    </row>
    <row r="973" spans="2:2" ht="12.75">
      <c r="B973" s="38"/>
    </row>
    <row r="974" spans="2:2" ht="12.75">
      <c r="B974" s="38"/>
    </row>
    <row r="975" spans="2:2" ht="12.75">
      <c r="B975" s="38"/>
    </row>
    <row r="976" spans="2:2" ht="12.75">
      <c r="B976" s="38"/>
    </row>
    <row r="977" spans="2:2" ht="12.75">
      <c r="B977" s="38"/>
    </row>
    <row r="978" spans="2:2" ht="12.75">
      <c r="B978" s="38"/>
    </row>
    <row r="979" spans="2:2" ht="12.75">
      <c r="B979" s="38"/>
    </row>
    <row r="980" spans="2:2" ht="12.75">
      <c r="B980" s="38"/>
    </row>
    <row r="981" spans="2:2" ht="12.75">
      <c r="B981" s="38"/>
    </row>
    <row r="982" spans="2:2" ht="12.75">
      <c r="B982" s="38"/>
    </row>
    <row r="983" spans="2:2" ht="12.75">
      <c r="B983" s="38"/>
    </row>
    <row r="984" spans="2:2" ht="12.75">
      <c r="B984" s="38"/>
    </row>
    <row r="985" spans="2:2" ht="12.75">
      <c r="B985" s="38"/>
    </row>
    <row r="986" spans="2:2" ht="12.75">
      <c r="B986" s="38"/>
    </row>
    <row r="987" spans="2:2" ht="12.75">
      <c r="B987" s="38"/>
    </row>
    <row r="988" spans="2:2" ht="12.75">
      <c r="B988" s="38"/>
    </row>
    <row r="989" spans="2:2" ht="12.75">
      <c r="B989" s="38"/>
    </row>
    <row r="990" spans="2:2" ht="12.75">
      <c r="B990" s="38"/>
    </row>
    <row r="991" spans="2:2" ht="12.75">
      <c r="B991" s="38"/>
    </row>
    <row r="992" spans="2:2" ht="12.75">
      <c r="B992" s="38"/>
    </row>
    <row r="993" spans="2:2" ht="12.75">
      <c r="B993" s="38"/>
    </row>
    <row r="994" spans="2:2" ht="12.75">
      <c r="B994" s="38"/>
    </row>
    <row r="995" spans="2:2" ht="12.75">
      <c r="B995" s="38"/>
    </row>
    <row r="996" spans="2:2" ht="12.75">
      <c r="B996" s="38"/>
    </row>
    <row r="997" spans="2:2" ht="12.75">
      <c r="B997" s="38"/>
    </row>
    <row r="998" spans="2:2" ht="12.75">
      <c r="B998" s="38"/>
    </row>
    <row r="999" spans="2:2" ht="12.75">
      <c r="B999" s="38"/>
    </row>
    <row r="1000" spans="2:2" ht="12.75">
      <c r="B1000" s="38"/>
    </row>
    <row r="1001" spans="2:2" ht="12.75">
      <c r="B1001" s="38"/>
    </row>
    <row r="1002" spans="2:2" ht="12.75">
      <c r="B1002" s="38"/>
    </row>
    <row r="1003" spans="2:2" ht="12.75">
      <c r="B1003" s="38"/>
    </row>
    <row r="1004" spans="2:2" ht="12.75">
      <c r="B1004" s="38"/>
    </row>
    <row r="1005" spans="2:2" ht="12.75">
      <c r="B1005" s="38"/>
    </row>
    <row r="1006" spans="2:2" ht="12.75">
      <c r="B1006" s="38"/>
    </row>
    <row r="1007" spans="2:2" ht="12.75">
      <c r="B1007" s="38"/>
    </row>
    <row r="1008" spans="2:2" ht="12.75">
      <c r="B1008" s="38"/>
    </row>
    <row r="1009" spans="2:2" ht="12.75">
      <c r="B1009" s="38"/>
    </row>
    <row r="1010" spans="2:2" ht="12.75">
      <c r="B1010" s="38"/>
    </row>
    <row r="1011" spans="2:2" ht="12.75">
      <c r="B1011" s="38"/>
    </row>
    <row r="1012" spans="2:2" ht="12.75">
      <c r="B1012" s="38"/>
    </row>
    <row r="1013" spans="2:2" ht="12.75">
      <c r="B1013" s="38"/>
    </row>
    <row r="1014" spans="2:2" ht="12.75">
      <c r="B1014" s="38"/>
    </row>
    <row r="1015" spans="2:2" ht="12.75">
      <c r="B1015" s="38"/>
    </row>
    <row r="1016" spans="2:2" ht="12.75">
      <c r="B1016" s="38"/>
    </row>
    <row r="1017" spans="2:2" ht="12.75">
      <c r="B1017" s="38"/>
    </row>
    <row r="1018" spans="2:2" ht="12.75">
      <c r="B1018" s="38"/>
    </row>
    <row r="1019" spans="2:2" ht="12.75">
      <c r="B1019" s="38"/>
    </row>
  </sheetData>
  <dataValidations count="2">
    <dataValidation type="list" allowBlank="1" sqref="B4:B271" xr:uid="{00000000-0002-0000-0200-000000000000}">
      <formula1>"Core,Games,Marketing,Payments"</formula1>
    </dataValidation>
    <dataValidation type="list" allowBlank="1" sqref="E4:E271" xr:uid="{00000000-0002-0000-0200-000001000000}">
      <formula1>"Done,Pending,In Progress,TBD"</formula1>
    </dataValidation>
  </dataValidations>
  <hyperlinks>
    <hyperlink ref="F4" r:id="rId1" xr:uid="{00000000-0004-0000-0200-000000000000}"/>
    <hyperlink ref="F5" r:id="rId2" xr:uid="{00000000-0004-0000-0200-000001000000}"/>
    <hyperlink ref="F6" r:id="rId3" xr:uid="{00000000-0004-0000-0200-000002000000}"/>
    <hyperlink ref="F7" r:id="rId4" xr:uid="{00000000-0004-0000-0200-000003000000}"/>
    <hyperlink ref="F8" r:id="rId5" xr:uid="{00000000-0004-0000-0200-000004000000}"/>
    <hyperlink ref="F9" r:id="rId6" xr:uid="{00000000-0004-0000-0200-000005000000}"/>
    <hyperlink ref="F10" r:id="rId7" xr:uid="{00000000-0004-0000-0200-000006000000}"/>
    <hyperlink ref="F11" r:id="rId8" xr:uid="{00000000-0004-0000-0200-000007000000}"/>
    <hyperlink ref="F12" r:id="rId9" xr:uid="{00000000-0004-0000-0200-000008000000}"/>
    <hyperlink ref="F13" r:id="rId10" xr:uid="{00000000-0004-0000-0200-000009000000}"/>
    <hyperlink ref="F14" r:id="rId11" xr:uid="{00000000-0004-0000-0200-00000A000000}"/>
    <hyperlink ref="F15" r:id="rId12" xr:uid="{00000000-0004-0000-0200-00000B000000}"/>
    <hyperlink ref="F16" r:id="rId13" xr:uid="{00000000-0004-0000-0200-00000C000000}"/>
    <hyperlink ref="F17" r:id="rId14" xr:uid="{00000000-0004-0000-0200-00000D000000}"/>
    <hyperlink ref="F18" r:id="rId15" xr:uid="{00000000-0004-0000-0200-00000E000000}"/>
    <hyperlink ref="F19" r:id="rId16" xr:uid="{00000000-0004-0000-0200-00000F000000}"/>
    <hyperlink ref="F20" r:id="rId17" xr:uid="{00000000-0004-0000-0200-000010000000}"/>
    <hyperlink ref="F39" r:id="rId18" xr:uid="{00000000-0004-0000-0200-000011000000}"/>
    <hyperlink ref="F40" r:id="rId19" xr:uid="{00000000-0004-0000-0200-000012000000}"/>
    <hyperlink ref="F45" r:id="rId20" xr:uid="{00000000-0004-0000-0200-000013000000}"/>
    <hyperlink ref="F47" r:id="rId21" xr:uid="{00000000-0004-0000-0200-000014000000}"/>
    <hyperlink ref="F48" r:id="rId22" xr:uid="{00000000-0004-0000-0200-000015000000}"/>
    <hyperlink ref="F49" r:id="rId23" xr:uid="{00000000-0004-0000-0200-000016000000}"/>
    <hyperlink ref="F55" r:id="rId24" xr:uid="{00000000-0004-0000-0200-000017000000}"/>
    <hyperlink ref="F56" r:id="rId25" xr:uid="{00000000-0004-0000-0200-000018000000}"/>
    <hyperlink ref="F58" r:id="rId26" xr:uid="{00000000-0004-0000-0200-000019000000}"/>
    <hyperlink ref="F59" r:id="rId27" xr:uid="{00000000-0004-0000-0200-00001A000000}"/>
    <hyperlink ref="F60" r:id="rId28" xr:uid="{00000000-0004-0000-0200-00001B000000}"/>
    <hyperlink ref="F62" r:id="rId29" xr:uid="{00000000-0004-0000-0200-00001C000000}"/>
    <hyperlink ref="F68" r:id="rId30" xr:uid="{00000000-0004-0000-0200-00001D000000}"/>
    <hyperlink ref="F80" r:id="rId31" xr:uid="{00000000-0004-0000-0200-00001E000000}"/>
    <hyperlink ref="F81" r:id="rId32" xr:uid="{00000000-0004-0000-0200-00001F000000}"/>
    <hyperlink ref="F82" r:id="rId33" xr:uid="{00000000-0004-0000-0200-000020000000}"/>
    <hyperlink ref="F83" r:id="rId34" xr:uid="{00000000-0004-0000-0200-000021000000}"/>
    <hyperlink ref="F84" r:id="rId35" xr:uid="{00000000-0004-0000-0200-000022000000}"/>
    <hyperlink ref="F85" r:id="rId36" xr:uid="{00000000-0004-0000-0200-000023000000}"/>
    <hyperlink ref="F86" r:id="rId37" xr:uid="{00000000-0004-0000-0200-000024000000}"/>
    <hyperlink ref="F87" r:id="rId38" xr:uid="{00000000-0004-0000-0200-000025000000}"/>
    <hyperlink ref="F88" r:id="rId39" xr:uid="{00000000-0004-0000-0200-000026000000}"/>
    <hyperlink ref="F89" r:id="rId40" xr:uid="{00000000-0004-0000-0200-000027000000}"/>
    <hyperlink ref="F90" r:id="rId41" xr:uid="{00000000-0004-0000-0200-000028000000}"/>
    <hyperlink ref="F91" r:id="rId42" xr:uid="{00000000-0004-0000-0200-000029000000}"/>
    <hyperlink ref="F92" r:id="rId43" xr:uid="{00000000-0004-0000-0200-00002A000000}"/>
    <hyperlink ref="F93" r:id="rId44" xr:uid="{00000000-0004-0000-0200-00002B000000}"/>
    <hyperlink ref="F94" r:id="rId45" xr:uid="{00000000-0004-0000-0200-00002C000000}"/>
    <hyperlink ref="F95" r:id="rId46" xr:uid="{00000000-0004-0000-0200-00002D000000}"/>
    <hyperlink ref="F96" r:id="rId47" xr:uid="{00000000-0004-0000-0200-00002E000000}"/>
    <hyperlink ref="F98" r:id="rId48" xr:uid="{00000000-0004-0000-0200-00002F000000}"/>
    <hyperlink ref="F99" r:id="rId49" xr:uid="{00000000-0004-0000-0200-000030000000}"/>
    <hyperlink ref="F100" r:id="rId50" xr:uid="{00000000-0004-0000-0200-000031000000}"/>
    <hyperlink ref="F101" r:id="rId51" xr:uid="{00000000-0004-0000-0200-000032000000}"/>
    <hyperlink ref="F102" r:id="rId52" xr:uid="{00000000-0004-0000-0200-000033000000}"/>
    <hyperlink ref="F103" r:id="rId53" xr:uid="{00000000-0004-0000-0200-000034000000}"/>
    <hyperlink ref="F104" r:id="rId54" xr:uid="{00000000-0004-0000-0200-000035000000}"/>
    <hyperlink ref="F105" r:id="rId55" xr:uid="{00000000-0004-0000-0200-000036000000}"/>
    <hyperlink ref="F106" r:id="rId56" xr:uid="{00000000-0004-0000-0200-000037000000}"/>
    <hyperlink ref="F107" r:id="rId57" xr:uid="{00000000-0004-0000-0200-000038000000}"/>
    <hyperlink ref="F108" r:id="rId58" xr:uid="{00000000-0004-0000-0200-000039000000}"/>
    <hyperlink ref="F109" r:id="rId59" xr:uid="{00000000-0004-0000-0200-00003A000000}"/>
    <hyperlink ref="F110" r:id="rId60" xr:uid="{00000000-0004-0000-0200-00003B000000}"/>
    <hyperlink ref="F111" r:id="rId61" xr:uid="{00000000-0004-0000-0200-00003C000000}"/>
    <hyperlink ref="F112" r:id="rId62" xr:uid="{00000000-0004-0000-0200-00003D000000}"/>
    <hyperlink ref="F113" r:id="rId63" xr:uid="{00000000-0004-0000-0200-00003E000000}"/>
    <hyperlink ref="F114" r:id="rId64" xr:uid="{00000000-0004-0000-0200-00003F000000}"/>
    <hyperlink ref="F115" r:id="rId65" xr:uid="{00000000-0004-0000-0200-000040000000}"/>
    <hyperlink ref="F116" r:id="rId66" xr:uid="{00000000-0004-0000-0200-000041000000}"/>
    <hyperlink ref="F117" r:id="rId67" xr:uid="{00000000-0004-0000-0200-000042000000}"/>
    <hyperlink ref="F118" r:id="rId68" xr:uid="{00000000-0004-0000-0200-000043000000}"/>
    <hyperlink ref="F137" r:id="rId69" xr:uid="{00000000-0004-0000-0200-000044000000}"/>
    <hyperlink ref="F138" r:id="rId70" xr:uid="{00000000-0004-0000-0200-000045000000}"/>
    <hyperlink ref="F139" r:id="rId71" xr:uid="{00000000-0004-0000-0200-000046000000}"/>
    <hyperlink ref="F140" r:id="rId72" xr:uid="{00000000-0004-0000-0200-000047000000}"/>
    <hyperlink ref="F141" r:id="rId73" xr:uid="{00000000-0004-0000-0200-000048000000}"/>
    <hyperlink ref="F142" r:id="rId74" xr:uid="{00000000-0004-0000-0200-000049000000}"/>
    <hyperlink ref="F143" r:id="rId75" xr:uid="{00000000-0004-0000-0200-00004A000000}"/>
    <hyperlink ref="F144" r:id="rId76" xr:uid="{00000000-0004-0000-0200-00004B000000}"/>
    <hyperlink ref="F145" r:id="rId77" xr:uid="{00000000-0004-0000-0200-00004C000000}"/>
    <hyperlink ref="F146" r:id="rId78" xr:uid="{00000000-0004-0000-0200-00004D000000}"/>
    <hyperlink ref="F147" r:id="rId79" xr:uid="{00000000-0004-0000-0200-00004E000000}"/>
    <hyperlink ref="F148" r:id="rId80" xr:uid="{00000000-0004-0000-0200-00004F000000}"/>
    <hyperlink ref="F149" r:id="rId81" xr:uid="{00000000-0004-0000-0200-000050000000}"/>
    <hyperlink ref="F150" r:id="rId82" xr:uid="{00000000-0004-0000-0200-000051000000}"/>
    <hyperlink ref="F151" r:id="rId83" xr:uid="{00000000-0004-0000-0200-000052000000}"/>
    <hyperlink ref="F152" r:id="rId84" xr:uid="{00000000-0004-0000-0200-000053000000}"/>
    <hyperlink ref="F153" r:id="rId85" xr:uid="{00000000-0004-0000-0200-000054000000}"/>
    <hyperlink ref="F154" r:id="rId86" xr:uid="{00000000-0004-0000-0200-000055000000}"/>
    <hyperlink ref="F155" r:id="rId87" xr:uid="{00000000-0004-0000-0200-000056000000}"/>
    <hyperlink ref="F156" r:id="rId88" xr:uid="{00000000-0004-0000-0200-000057000000}"/>
    <hyperlink ref="F157" r:id="rId89" xr:uid="{00000000-0004-0000-0200-000058000000}"/>
    <hyperlink ref="F158" r:id="rId90" xr:uid="{00000000-0004-0000-0200-000059000000}"/>
    <hyperlink ref="F159" r:id="rId91" xr:uid="{00000000-0004-0000-0200-00005A000000}"/>
    <hyperlink ref="F160" r:id="rId92" xr:uid="{00000000-0004-0000-0200-00005B000000}"/>
    <hyperlink ref="F161" r:id="rId93" xr:uid="{00000000-0004-0000-0200-00005C000000}"/>
    <hyperlink ref="F162" r:id="rId94" xr:uid="{00000000-0004-0000-0200-00005D000000}"/>
    <hyperlink ref="F163" r:id="rId95" xr:uid="{00000000-0004-0000-0200-00005E000000}"/>
    <hyperlink ref="F164" r:id="rId96" xr:uid="{00000000-0004-0000-0200-00005F000000}"/>
    <hyperlink ref="F167" r:id="rId97" xr:uid="{00000000-0004-0000-0200-000060000000}"/>
    <hyperlink ref="F168" r:id="rId98" xr:uid="{00000000-0004-0000-0200-000061000000}"/>
    <hyperlink ref="F169" r:id="rId99" xr:uid="{00000000-0004-0000-0200-000062000000}"/>
    <hyperlink ref="F170" r:id="rId100" xr:uid="{00000000-0004-0000-0200-000063000000}"/>
    <hyperlink ref="F171" r:id="rId101" xr:uid="{00000000-0004-0000-0200-000064000000}"/>
  </hyperlinks>
  <pageMargins left="0.7" right="0.7" top="0.75" bottom="0.75" header="0.3" footer="0.3"/>
  <tableParts count="1">
    <tablePart r:id="rId10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AA84F"/>
    <outlinePr summaryBelow="0" summaryRight="0"/>
  </sheetPr>
  <dimension ref="A1:T107"/>
  <sheetViews>
    <sheetView workbookViewId="0">
      <pane ySplit="1" topLeftCell="A2" activePane="bottomLeft" state="frozen"/>
      <selection pane="bottomLeft" activeCell="B3" sqref="B3"/>
    </sheetView>
  </sheetViews>
  <sheetFormatPr defaultColWidth="12.59765625" defaultRowHeight="15" customHeight="1"/>
  <cols>
    <col min="1" max="1" width="49.1328125" hidden="1" customWidth="1"/>
    <col min="2" max="2" width="9.3984375" hidden="1" customWidth="1"/>
    <col min="3" max="4" width="16.73046875" hidden="1" customWidth="1"/>
    <col min="5" max="5" width="18" hidden="1" customWidth="1"/>
    <col min="8" max="8" width="12.3984375" customWidth="1"/>
    <col min="9" max="9" width="21.59765625" customWidth="1"/>
    <col min="19" max="19" width="15.59765625" customWidth="1"/>
    <col min="20" max="20" width="27.3984375" customWidth="1"/>
  </cols>
  <sheetData>
    <row r="1" spans="1:20" ht="22.5" customHeight="1">
      <c r="A1" s="40" t="s">
        <v>354</v>
      </c>
      <c r="B1" s="82" t="s">
        <v>350</v>
      </c>
      <c r="C1" s="40" t="s">
        <v>355</v>
      </c>
      <c r="D1" s="40" t="s">
        <v>356</v>
      </c>
      <c r="E1" s="40" t="s">
        <v>357</v>
      </c>
      <c r="R1" s="40" t="s">
        <v>366</v>
      </c>
      <c r="S1" s="40" t="s">
        <v>367</v>
      </c>
      <c r="T1" s="40" t="s">
        <v>368</v>
      </c>
    </row>
    <row r="2" spans="1:20" ht="22.5" customHeight="1">
      <c r="A2" s="83" t="e">
        <f>#REF!</f>
        <v>#REF!</v>
      </c>
      <c r="B2" s="41" t="s">
        <v>369</v>
      </c>
      <c r="C2" s="41" t="e">
        <f>#REF!</f>
        <v>#REF!</v>
      </c>
      <c r="D2" s="41" t="e">
        <f>#REF!</f>
        <v>#REF!</v>
      </c>
      <c r="E2" s="41" t="e">
        <f>#REF!</f>
        <v>#REF!</v>
      </c>
      <c r="R2" s="84">
        <v>45911</v>
      </c>
      <c r="S2" s="39">
        <v>0</v>
      </c>
      <c r="T2" s="85" t="s">
        <v>370</v>
      </c>
    </row>
    <row r="3" spans="1:20" ht="22.5" customHeight="1">
      <c r="A3" s="83" t="e">
        <f>#REF!</f>
        <v>#REF!</v>
      </c>
      <c r="B3" s="41" t="s">
        <v>369</v>
      </c>
      <c r="C3" s="41" t="e">
        <f>#REF!</f>
        <v>#REF!</v>
      </c>
      <c r="D3" s="41" t="e">
        <f>#REF!</f>
        <v>#REF!</v>
      </c>
      <c r="E3" s="41" t="e">
        <f>#REF!</f>
        <v>#REF!</v>
      </c>
      <c r="R3" s="39" t="s">
        <v>371</v>
      </c>
      <c r="S3" s="39">
        <v>5</v>
      </c>
      <c r="T3" s="39" t="s">
        <v>371</v>
      </c>
    </row>
    <row r="4" spans="1:20" ht="22.5" customHeight="1">
      <c r="A4" s="41" t="e">
        <f>#REF!</f>
        <v>#REF!</v>
      </c>
      <c r="B4" s="41" t="s">
        <v>369</v>
      </c>
      <c r="C4" s="41" t="e">
        <f>#REF!</f>
        <v>#REF!</v>
      </c>
      <c r="D4" s="41" t="e">
        <f>#REF!</f>
        <v>#REF!</v>
      </c>
      <c r="E4" s="41" t="e">
        <f>#REF!</f>
        <v>#REF!</v>
      </c>
      <c r="R4" s="39" t="s">
        <v>371</v>
      </c>
      <c r="S4" s="39">
        <v>10</v>
      </c>
      <c r="T4" s="39" t="s">
        <v>371</v>
      </c>
    </row>
    <row r="5" spans="1:20" ht="22.5" customHeight="1">
      <c r="A5" s="83" t="e">
        <f>#REF!</f>
        <v>#REF!</v>
      </c>
      <c r="B5" s="41" t="s">
        <v>369</v>
      </c>
      <c r="C5" s="41" t="e">
        <f>#REF!</f>
        <v>#REF!</v>
      </c>
      <c r="D5" s="41" t="e">
        <f>#REF!</f>
        <v>#REF!</v>
      </c>
      <c r="E5" s="41" t="e">
        <f>#REF!</f>
        <v>#REF!</v>
      </c>
      <c r="R5" s="39" t="s">
        <v>371</v>
      </c>
      <c r="S5" s="39">
        <v>15</v>
      </c>
      <c r="T5" s="39" t="s">
        <v>371</v>
      </c>
    </row>
    <row r="6" spans="1:20" ht="22.5" customHeight="1">
      <c r="A6" s="41" t="e">
        <f>#REF!</f>
        <v>#REF!</v>
      </c>
      <c r="B6" s="41" t="s">
        <v>369</v>
      </c>
      <c r="C6" s="41" t="e">
        <f>#REF!</f>
        <v>#REF!</v>
      </c>
      <c r="D6" s="41" t="e">
        <f>#REF!</f>
        <v>#REF!</v>
      </c>
      <c r="E6" s="41" t="e">
        <f>#REF!</f>
        <v>#REF!</v>
      </c>
      <c r="R6" s="39" t="s">
        <v>371</v>
      </c>
      <c r="S6" s="39">
        <v>20</v>
      </c>
      <c r="T6" s="39" t="s">
        <v>371</v>
      </c>
    </row>
    <row r="7" spans="1:20" ht="22.5" customHeight="1">
      <c r="A7" s="83" t="e">
        <f>#REF!</f>
        <v>#REF!</v>
      </c>
      <c r="B7" s="41" t="s">
        <v>369</v>
      </c>
      <c r="C7" s="41" t="e">
        <f>#REF!</f>
        <v>#REF!</v>
      </c>
      <c r="D7" s="41" t="e">
        <f>#REF!</f>
        <v>#REF!</v>
      </c>
      <c r="E7" s="41" t="e">
        <f>#REF!</f>
        <v>#REF!</v>
      </c>
      <c r="R7" s="39" t="s">
        <v>371</v>
      </c>
      <c r="S7" s="39" t="s">
        <v>372</v>
      </c>
      <c r="T7" s="39" t="s">
        <v>371</v>
      </c>
    </row>
    <row r="8" spans="1:20" ht="22.5" customHeight="1">
      <c r="A8" s="83" t="e">
        <f>#REF!</f>
        <v>#REF!</v>
      </c>
      <c r="B8" s="41" t="s">
        <v>369</v>
      </c>
      <c r="C8" s="41" t="e">
        <f>#REF!</f>
        <v>#REF!</v>
      </c>
      <c r="D8" s="41" t="e">
        <f>#REF!</f>
        <v>#REF!</v>
      </c>
      <c r="E8" s="41" t="e">
        <f>#REF!</f>
        <v>#REF!</v>
      </c>
    </row>
    <row r="9" spans="1:20" ht="22.5" customHeight="1">
      <c r="A9" s="41" t="e">
        <f>#REF!</f>
        <v>#REF!</v>
      </c>
      <c r="B9" s="41" t="s">
        <v>369</v>
      </c>
      <c r="C9" s="41" t="e">
        <f>#REF!</f>
        <v>#REF!</v>
      </c>
      <c r="D9" s="41" t="e">
        <f>#REF!</f>
        <v>#REF!</v>
      </c>
      <c r="E9" s="41" t="e">
        <f>#REF!</f>
        <v>#REF!</v>
      </c>
    </row>
    <row r="10" spans="1:20" ht="22.5" customHeight="1">
      <c r="A10" s="83" t="e">
        <f>#REF!</f>
        <v>#REF!</v>
      </c>
      <c r="B10" s="41" t="s">
        <v>369</v>
      </c>
      <c r="C10" s="41" t="e">
        <f>#REF!</f>
        <v>#REF!</v>
      </c>
      <c r="D10" s="41" t="e">
        <f>#REF!</f>
        <v>#REF!</v>
      </c>
      <c r="E10" s="41" t="e">
        <f>#REF!</f>
        <v>#REF!</v>
      </c>
    </row>
    <row r="11" spans="1:20" ht="22.5" customHeight="1">
      <c r="A11" s="41" t="e">
        <f>#REF!</f>
        <v>#REF!</v>
      </c>
      <c r="B11" s="41" t="s">
        <v>369</v>
      </c>
      <c r="C11" s="41" t="e">
        <f>#REF!</f>
        <v>#REF!</v>
      </c>
      <c r="D11" s="41" t="e">
        <f>#REF!</f>
        <v>#REF!</v>
      </c>
      <c r="E11" s="41" t="e">
        <f>#REF!</f>
        <v>#REF!</v>
      </c>
    </row>
    <row r="12" spans="1:20" ht="22.5" customHeight="1">
      <c r="A12" s="83" t="e">
        <f>#REF!</f>
        <v>#REF!</v>
      </c>
      <c r="B12" s="41" t="s">
        <v>369</v>
      </c>
      <c r="C12" s="41" t="e">
        <f>#REF!</f>
        <v>#REF!</v>
      </c>
      <c r="D12" s="41" t="e">
        <f>#REF!</f>
        <v>#REF!</v>
      </c>
      <c r="E12" s="41" t="e">
        <f>#REF!</f>
        <v>#REF!</v>
      </c>
    </row>
    <row r="13" spans="1:20" ht="22.5" customHeight="1">
      <c r="A13" s="41" t="e">
        <f>#REF!</f>
        <v>#REF!</v>
      </c>
      <c r="B13" s="41" t="s">
        <v>369</v>
      </c>
      <c r="C13" s="41" t="e">
        <f>#REF!</f>
        <v>#REF!</v>
      </c>
      <c r="D13" s="41" t="e">
        <f>#REF!</f>
        <v>#REF!</v>
      </c>
      <c r="E13" s="41" t="e">
        <f>#REF!</f>
        <v>#REF!</v>
      </c>
    </row>
    <row r="14" spans="1:20" ht="22.5" customHeight="1">
      <c r="A14" s="41" t="e">
        <f>#REF!</f>
        <v>#REF!</v>
      </c>
      <c r="B14" s="41" t="s">
        <v>369</v>
      </c>
      <c r="C14" s="41" t="e">
        <f>#REF!</f>
        <v>#REF!</v>
      </c>
      <c r="D14" s="41" t="e">
        <f>#REF!</f>
        <v>#REF!</v>
      </c>
      <c r="E14" s="41" t="e">
        <f>#REF!</f>
        <v>#REF!</v>
      </c>
    </row>
    <row r="15" spans="1:20" ht="22.5" customHeight="1">
      <c r="A15" s="41" t="e">
        <f>#REF!</f>
        <v>#REF!</v>
      </c>
      <c r="B15" s="41" t="s">
        <v>369</v>
      </c>
      <c r="C15" s="41" t="e">
        <f>#REF!</f>
        <v>#REF!</v>
      </c>
      <c r="D15" s="41" t="e">
        <f>#REF!</f>
        <v>#REF!</v>
      </c>
      <c r="E15" s="41" t="e">
        <f>#REF!</f>
        <v>#REF!</v>
      </c>
    </row>
    <row r="16" spans="1:20" ht="22.5" customHeight="1">
      <c r="A16" s="41" t="e">
        <f>#REF!</f>
        <v>#REF!</v>
      </c>
      <c r="B16" s="41" t="s">
        <v>369</v>
      </c>
      <c r="C16" s="41" t="e">
        <f>#REF!</f>
        <v>#REF!</v>
      </c>
      <c r="D16" s="41" t="e">
        <f>#REF!</f>
        <v>#REF!</v>
      </c>
      <c r="E16" s="41" t="e">
        <f>#REF!</f>
        <v>#REF!</v>
      </c>
    </row>
    <row r="17" spans="1:14" ht="22.5" customHeight="1">
      <c r="A17" s="41" t="e">
        <f>#REF!</f>
        <v>#REF!</v>
      </c>
      <c r="B17" s="41" t="s">
        <v>369</v>
      </c>
      <c r="C17" s="41" t="e">
        <f>#REF!</f>
        <v>#REF!</v>
      </c>
      <c r="D17" s="41" t="e">
        <f>#REF!</f>
        <v>#REF!</v>
      </c>
      <c r="E17" s="41" t="e">
        <f>#REF!</f>
        <v>#REF!</v>
      </c>
      <c r="G17" s="148" t="s">
        <v>357</v>
      </c>
      <c r="H17" s="147" t="s">
        <v>801</v>
      </c>
      <c r="M17" s="148" t="s">
        <v>357</v>
      </c>
      <c r="N17" s="147" t="s">
        <v>801</v>
      </c>
    </row>
    <row r="18" spans="1:14" ht="22.5" customHeight="1">
      <c r="A18" s="41" t="e">
        <f>#REF!</f>
        <v>#REF!</v>
      </c>
      <c r="B18" s="41" t="s">
        <v>369</v>
      </c>
      <c r="C18" s="41" t="e">
        <f>#REF!</f>
        <v>#REF!</v>
      </c>
      <c r="D18" s="41" t="e">
        <f>#REF!</f>
        <v>#REF!</v>
      </c>
      <c r="E18" s="41" t="e">
        <f>#REF!</f>
        <v>#REF!</v>
      </c>
    </row>
    <row r="19" spans="1:14" ht="22.5" customHeight="1">
      <c r="A19" s="41" t="e">
        <f>#REF!</f>
        <v>#REF!</v>
      </c>
      <c r="B19" s="41" t="s">
        <v>369</v>
      </c>
      <c r="C19" s="41" t="e">
        <f>#REF!</f>
        <v>#REF!</v>
      </c>
      <c r="D19" s="41" t="e">
        <f>#REF!</f>
        <v>#REF!</v>
      </c>
      <c r="E19" s="41" t="e">
        <f>#REF!</f>
        <v>#REF!</v>
      </c>
      <c r="G19" s="143" t="s">
        <v>355</v>
      </c>
      <c r="H19" s="144" t="s">
        <v>373</v>
      </c>
      <c r="M19" s="143" t="s">
        <v>355</v>
      </c>
      <c r="N19" s="144" t="s">
        <v>373</v>
      </c>
    </row>
    <row r="20" spans="1:14" ht="22.5" customHeight="1">
      <c r="A20" s="41" t="e">
        <f>#REF!</f>
        <v>#REF!</v>
      </c>
      <c r="B20" s="41" t="s">
        <v>369</v>
      </c>
      <c r="C20" s="41" t="e">
        <f>#REF!</f>
        <v>#REF!</v>
      </c>
      <c r="D20" s="41" t="e">
        <f>#REF!</f>
        <v>#REF!</v>
      </c>
      <c r="E20" s="41" t="e">
        <f>#REF!</f>
        <v>#REF!</v>
      </c>
      <c r="G20" s="145" t="s">
        <v>801</v>
      </c>
      <c r="H20" s="189">
        <v>106</v>
      </c>
      <c r="M20" s="145" t="s">
        <v>801</v>
      </c>
      <c r="N20" s="189">
        <v>106</v>
      </c>
    </row>
    <row r="21" spans="1:14" ht="22.5" customHeight="1">
      <c r="A21" s="41" t="e">
        <f>#REF!</f>
        <v>#REF!</v>
      </c>
      <c r="B21" s="41" t="s">
        <v>369</v>
      </c>
      <c r="C21" s="41" t="e">
        <f>#REF!</f>
        <v>#REF!</v>
      </c>
      <c r="D21" s="41" t="e">
        <f>#REF!</f>
        <v>#REF!</v>
      </c>
      <c r="E21" s="41" t="e">
        <f>#REF!</f>
        <v>#REF!</v>
      </c>
      <c r="G21" s="146" t="s">
        <v>374</v>
      </c>
      <c r="H21" s="190">
        <v>106</v>
      </c>
      <c r="M21" s="146" t="s">
        <v>374</v>
      </c>
      <c r="N21" s="190">
        <v>106</v>
      </c>
    </row>
    <row r="22" spans="1:14" ht="22.5" customHeight="1">
      <c r="A22" s="41" t="e">
        <f>#REF!</f>
        <v>#REF!</v>
      </c>
      <c r="B22" s="41" t="s">
        <v>369</v>
      </c>
      <c r="C22" s="41" t="e">
        <f>#REF!</f>
        <v>#REF!</v>
      </c>
      <c r="D22" s="41" t="e">
        <f>#REF!</f>
        <v>#REF!</v>
      </c>
      <c r="E22" s="41" t="e">
        <f>#REF!</f>
        <v>#REF!</v>
      </c>
    </row>
    <row r="23" spans="1:14" ht="22.5" customHeight="1">
      <c r="A23" s="41" t="e">
        <f>#REF!</f>
        <v>#REF!</v>
      </c>
      <c r="B23" s="41" t="s">
        <v>369</v>
      </c>
      <c r="C23" s="41" t="e">
        <f>#REF!</f>
        <v>#REF!</v>
      </c>
      <c r="D23" s="41" t="e">
        <f>#REF!</f>
        <v>#REF!</v>
      </c>
      <c r="E23" s="41" t="e">
        <f>#REF!</f>
        <v>#REF!</v>
      </c>
    </row>
    <row r="24" spans="1:14" ht="22.5" customHeight="1">
      <c r="A24" s="41" t="e">
        <f>#REF!</f>
        <v>#REF!</v>
      </c>
      <c r="B24" s="41" t="s">
        <v>369</v>
      </c>
      <c r="C24" s="41" t="e">
        <f>#REF!</f>
        <v>#REF!</v>
      </c>
      <c r="D24" s="41" t="e">
        <f>#REF!</f>
        <v>#REF!</v>
      </c>
      <c r="E24" s="41" t="e">
        <f>#REF!</f>
        <v>#REF!</v>
      </c>
    </row>
    <row r="25" spans="1:14" ht="22.5" customHeight="1">
      <c r="A25" s="41" t="e">
        <f>#REF!</f>
        <v>#REF!</v>
      </c>
      <c r="B25" s="41" t="s">
        <v>369</v>
      </c>
      <c r="C25" s="41" t="e">
        <f>#REF!</f>
        <v>#REF!</v>
      </c>
      <c r="D25" s="41" t="e">
        <f>#REF!</f>
        <v>#REF!</v>
      </c>
      <c r="E25" s="41" t="e">
        <f>#REF!</f>
        <v>#REF!</v>
      </c>
    </row>
    <row r="26" spans="1:14" ht="22.5" customHeight="1">
      <c r="A26" s="41" t="e">
        <f>#REF!</f>
        <v>#REF!</v>
      </c>
      <c r="B26" s="41" t="s">
        <v>369</v>
      </c>
      <c r="C26" s="41" t="e">
        <f>#REF!</f>
        <v>#REF!</v>
      </c>
      <c r="D26" s="41" t="e">
        <f>#REF!</f>
        <v>#REF!</v>
      </c>
      <c r="E26" s="41" t="e">
        <f>#REF!</f>
        <v>#REF!</v>
      </c>
    </row>
    <row r="27" spans="1:14" ht="22.5" customHeight="1">
      <c r="A27" s="41" t="e">
        <f>#REF!</f>
        <v>#REF!</v>
      </c>
      <c r="B27" s="41" t="s">
        <v>369</v>
      </c>
      <c r="C27" s="41" t="e">
        <f>#REF!</f>
        <v>#REF!</v>
      </c>
      <c r="D27" s="41" t="e">
        <f>#REF!</f>
        <v>#REF!</v>
      </c>
      <c r="E27" s="41" t="e">
        <f>#REF!</f>
        <v>#REF!</v>
      </c>
    </row>
    <row r="28" spans="1:14" ht="22.5" customHeight="1">
      <c r="A28" s="41" t="e">
        <f>#REF!</f>
        <v>#REF!</v>
      </c>
      <c r="B28" s="41" t="s">
        <v>369</v>
      </c>
      <c r="C28" s="41" t="e">
        <f>#REF!</f>
        <v>#REF!</v>
      </c>
      <c r="D28" s="41" t="e">
        <f>#REF!</f>
        <v>#REF!</v>
      </c>
      <c r="E28" s="41" t="e">
        <f>#REF!</f>
        <v>#REF!</v>
      </c>
    </row>
    <row r="29" spans="1:14" ht="22.5" customHeight="1">
      <c r="A29" s="83" t="e">
        <f>#REF!</f>
        <v>#REF!</v>
      </c>
      <c r="B29" s="41" t="s">
        <v>369</v>
      </c>
      <c r="C29" s="41" t="e">
        <f>#REF!</f>
        <v>#REF!</v>
      </c>
      <c r="D29" s="41" t="e">
        <f>#REF!</f>
        <v>#REF!</v>
      </c>
      <c r="E29" s="41" t="e">
        <f>#REF!</f>
        <v>#REF!</v>
      </c>
    </row>
    <row r="30" spans="1:14" ht="22.5" customHeight="1">
      <c r="A30" s="83" t="e">
        <f>#REF!</f>
        <v>#REF!</v>
      </c>
      <c r="B30" s="41" t="s">
        <v>369</v>
      </c>
      <c r="C30" s="41" t="e">
        <f>#REF!</f>
        <v>#REF!</v>
      </c>
      <c r="D30" s="41" t="e">
        <f>#REF!</f>
        <v>#REF!</v>
      </c>
      <c r="E30" s="41" t="e">
        <f>#REF!</f>
        <v>#REF!</v>
      </c>
    </row>
    <row r="31" spans="1:14" ht="22.5" customHeight="1">
      <c r="A31" s="83" t="e">
        <f>#REF!</f>
        <v>#REF!</v>
      </c>
      <c r="B31" s="41" t="s">
        <v>369</v>
      </c>
      <c r="C31" s="41" t="e">
        <f>#REF!</f>
        <v>#REF!</v>
      </c>
      <c r="D31" s="41" t="e">
        <f>#REF!</f>
        <v>#REF!</v>
      </c>
      <c r="E31" s="41" t="e">
        <f>#REF!</f>
        <v>#REF!</v>
      </c>
    </row>
    <row r="32" spans="1:14" ht="22.5" customHeight="1">
      <c r="A32" s="83" t="e">
        <f>#REF!</f>
        <v>#REF!</v>
      </c>
      <c r="B32" s="41" t="s">
        <v>369</v>
      </c>
      <c r="C32" s="41" t="e">
        <f>#REF!</f>
        <v>#REF!</v>
      </c>
      <c r="D32" s="41" t="e">
        <f>#REF!</f>
        <v>#REF!</v>
      </c>
      <c r="E32" s="41" t="e">
        <f>#REF!</f>
        <v>#REF!</v>
      </c>
    </row>
    <row r="33" spans="1:5" ht="22.5" customHeight="1">
      <c r="A33" s="83" t="e">
        <f>#REF!</f>
        <v>#REF!</v>
      </c>
      <c r="B33" s="41" t="s">
        <v>369</v>
      </c>
      <c r="C33" s="41" t="e">
        <f>#REF!</f>
        <v>#REF!</v>
      </c>
      <c r="D33" s="41" t="e">
        <f>#REF!</f>
        <v>#REF!</v>
      </c>
      <c r="E33" s="41" t="e">
        <f>#REF!</f>
        <v>#REF!</v>
      </c>
    </row>
    <row r="34" spans="1:5" ht="22.5" customHeight="1">
      <c r="A34" s="83" t="e">
        <f>#REF!</f>
        <v>#REF!</v>
      </c>
      <c r="B34" s="41" t="s">
        <v>369</v>
      </c>
      <c r="C34" s="41" t="e">
        <f>#REF!</f>
        <v>#REF!</v>
      </c>
      <c r="D34" s="41" t="e">
        <f>#REF!</f>
        <v>#REF!</v>
      </c>
      <c r="E34" s="41" t="e">
        <f>#REF!</f>
        <v>#REF!</v>
      </c>
    </row>
    <row r="35" spans="1:5" ht="22.5" customHeight="1">
      <c r="A35" s="83" t="e">
        <f>#REF!</f>
        <v>#REF!</v>
      </c>
      <c r="B35" s="41" t="s">
        <v>369</v>
      </c>
      <c r="C35" s="41" t="e">
        <f>#REF!</f>
        <v>#REF!</v>
      </c>
      <c r="D35" s="41" t="e">
        <f>#REF!</f>
        <v>#REF!</v>
      </c>
      <c r="E35" s="41" t="e">
        <f>#REF!</f>
        <v>#REF!</v>
      </c>
    </row>
    <row r="36" spans="1:5" ht="22.5" customHeight="1">
      <c r="A36" s="41" t="e">
        <f>#REF!</f>
        <v>#REF!</v>
      </c>
      <c r="B36" s="41" t="s">
        <v>369</v>
      </c>
      <c r="C36" s="41" t="e">
        <f>#REF!</f>
        <v>#REF!</v>
      </c>
      <c r="D36" s="41" t="e">
        <f>#REF!</f>
        <v>#REF!</v>
      </c>
      <c r="E36" s="41" t="e">
        <f>#REF!</f>
        <v>#REF!</v>
      </c>
    </row>
    <row r="37" spans="1:5" ht="22.5" customHeight="1">
      <c r="A37" s="83" t="e">
        <f>#REF!</f>
        <v>#REF!</v>
      </c>
      <c r="B37" s="41" t="s">
        <v>369</v>
      </c>
      <c r="C37" s="41" t="e">
        <f>#REF!</f>
        <v>#REF!</v>
      </c>
      <c r="D37" s="41" t="e">
        <f>#REF!</f>
        <v>#REF!</v>
      </c>
      <c r="E37" s="41" t="e">
        <f>#REF!</f>
        <v>#REF!</v>
      </c>
    </row>
    <row r="38" spans="1:5" ht="22.5" customHeight="1">
      <c r="A38" s="83" t="e">
        <f>#REF!</f>
        <v>#REF!</v>
      </c>
      <c r="B38" s="41" t="s">
        <v>369</v>
      </c>
      <c r="C38" s="41" t="e">
        <f>#REF!</f>
        <v>#REF!</v>
      </c>
      <c r="D38" s="41" t="e">
        <f>#REF!</f>
        <v>#REF!</v>
      </c>
      <c r="E38" s="41" t="e">
        <f>#REF!</f>
        <v>#REF!</v>
      </c>
    </row>
    <row r="39" spans="1:5" ht="22.5" customHeight="1">
      <c r="A39" s="41" t="e">
        <f>#REF!</f>
        <v>#REF!</v>
      </c>
      <c r="B39" s="41" t="s">
        <v>369</v>
      </c>
      <c r="C39" s="41" t="e">
        <f>#REF!</f>
        <v>#REF!</v>
      </c>
      <c r="D39" s="41" t="e">
        <f>#REF!</f>
        <v>#REF!</v>
      </c>
      <c r="E39" s="41" t="e">
        <f>#REF!</f>
        <v>#REF!</v>
      </c>
    </row>
    <row r="40" spans="1:5" ht="22.5" customHeight="1">
      <c r="A40" s="83" t="e">
        <f>#REF!</f>
        <v>#REF!</v>
      </c>
      <c r="B40" s="41" t="s">
        <v>369</v>
      </c>
      <c r="C40" s="41" t="e">
        <f>#REF!</f>
        <v>#REF!</v>
      </c>
      <c r="D40" s="41" t="e">
        <f>#REF!</f>
        <v>#REF!</v>
      </c>
      <c r="E40" s="41" t="e">
        <f>#REF!</f>
        <v>#REF!</v>
      </c>
    </row>
    <row r="41" spans="1:5" ht="22.5" customHeight="1">
      <c r="A41" s="83" t="e">
        <f>#REF!</f>
        <v>#REF!</v>
      </c>
      <c r="B41" s="41" t="s">
        <v>369</v>
      </c>
      <c r="C41" s="41" t="e">
        <f>#REF!</f>
        <v>#REF!</v>
      </c>
      <c r="D41" s="41" t="e">
        <f>#REF!</f>
        <v>#REF!</v>
      </c>
      <c r="E41" s="41" t="e">
        <f>#REF!</f>
        <v>#REF!</v>
      </c>
    </row>
    <row r="42" spans="1:5" ht="22.5" customHeight="1">
      <c r="A42" s="83" t="e">
        <f>#REF!</f>
        <v>#REF!</v>
      </c>
      <c r="B42" s="41" t="s">
        <v>369</v>
      </c>
      <c r="C42" s="41" t="e">
        <f>#REF!</f>
        <v>#REF!</v>
      </c>
      <c r="D42" s="41" t="e">
        <f>#REF!</f>
        <v>#REF!</v>
      </c>
      <c r="E42" s="41" t="e">
        <f>#REF!</f>
        <v>#REF!</v>
      </c>
    </row>
    <row r="43" spans="1:5" ht="22.5" customHeight="1">
      <c r="A43" s="41" t="e">
        <f>#REF!</f>
        <v>#REF!</v>
      </c>
      <c r="B43" s="41" t="s">
        <v>369</v>
      </c>
      <c r="C43" s="41" t="e">
        <f>#REF!</f>
        <v>#REF!</v>
      </c>
      <c r="D43" s="41" t="e">
        <f>#REF!</f>
        <v>#REF!</v>
      </c>
      <c r="E43" s="41" t="e">
        <f>#REF!</f>
        <v>#REF!</v>
      </c>
    </row>
    <row r="44" spans="1:5" ht="22.5" customHeight="1">
      <c r="A44" s="41" t="e">
        <f>#REF!</f>
        <v>#REF!</v>
      </c>
      <c r="B44" s="41" t="s">
        <v>369</v>
      </c>
      <c r="C44" s="41" t="e">
        <f>#REF!</f>
        <v>#REF!</v>
      </c>
      <c r="D44" s="41" t="e">
        <f>#REF!</f>
        <v>#REF!</v>
      </c>
      <c r="E44" s="41" t="e">
        <f>#REF!</f>
        <v>#REF!</v>
      </c>
    </row>
    <row r="45" spans="1:5" ht="22.5" customHeight="1">
      <c r="A45" s="83" t="e">
        <f>#REF!</f>
        <v>#REF!</v>
      </c>
      <c r="B45" s="41" t="s">
        <v>369</v>
      </c>
      <c r="C45" s="41" t="e">
        <f>#REF!</f>
        <v>#REF!</v>
      </c>
      <c r="D45" s="41" t="e">
        <f>#REF!</f>
        <v>#REF!</v>
      </c>
      <c r="E45" s="41" t="e">
        <f>#REF!</f>
        <v>#REF!</v>
      </c>
    </row>
    <row r="46" spans="1:5" ht="22.5" customHeight="1">
      <c r="A46" s="83" t="e">
        <f>#REF!</f>
        <v>#REF!</v>
      </c>
      <c r="B46" s="41" t="s">
        <v>369</v>
      </c>
      <c r="C46" s="41" t="e">
        <f>#REF!</f>
        <v>#REF!</v>
      </c>
      <c r="D46" s="41" t="e">
        <f>#REF!</f>
        <v>#REF!</v>
      </c>
      <c r="E46" s="41" t="e">
        <f>#REF!</f>
        <v>#REF!</v>
      </c>
    </row>
    <row r="47" spans="1:5" ht="22.5" customHeight="1">
      <c r="A47" s="41" t="e">
        <f>#REF!</f>
        <v>#REF!</v>
      </c>
      <c r="B47" s="41" t="s">
        <v>369</v>
      </c>
      <c r="C47" s="41" t="e">
        <f>#REF!</f>
        <v>#REF!</v>
      </c>
      <c r="D47" s="41" t="e">
        <f>#REF!</f>
        <v>#REF!</v>
      </c>
      <c r="E47" s="41" t="e">
        <f>#REF!</f>
        <v>#REF!</v>
      </c>
    </row>
    <row r="48" spans="1:5" ht="22.5" customHeight="1">
      <c r="A48" s="83" t="e">
        <f>#REF!</f>
        <v>#REF!</v>
      </c>
      <c r="B48" s="41" t="s">
        <v>369</v>
      </c>
      <c r="C48" s="41" t="e">
        <f>#REF!</f>
        <v>#REF!</v>
      </c>
      <c r="D48" s="41" t="e">
        <f>#REF!</f>
        <v>#REF!</v>
      </c>
      <c r="E48" s="41" t="e">
        <f>#REF!</f>
        <v>#REF!</v>
      </c>
    </row>
    <row r="49" spans="1:5" ht="22.5" customHeight="1">
      <c r="A49" s="83" t="e">
        <f>#REF!</f>
        <v>#REF!</v>
      </c>
      <c r="B49" s="41" t="s">
        <v>369</v>
      </c>
      <c r="C49" s="41" t="e">
        <f>#REF!</f>
        <v>#REF!</v>
      </c>
      <c r="D49" s="41" t="e">
        <f>#REF!</f>
        <v>#REF!</v>
      </c>
      <c r="E49" s="41" t="e">
        <f>#REF!</f>
        <v>#REF!</v>
      </c>
    </row>
    <row r="50" spans="1:5" ht="22.5" customHeight="1">
      <c r="A50" s="41" t="e">
        <f>#REF!</f>
        <v>#REF!</v>
      </c>
      <c r="B50" s="41" t="s">
        <v>369</v>
      </c>
      <c r="C50" s="41" t="e">
        <f>#REF!</f>
        <v>#REF!</v>
      </c>
      <c r="D50" s="41" t="e">
        <f>#REF!</f>
        <v>#REF!</v>
      </c>
      <c r="E50" s="41" t="e">
        <f>#REF!</f>
        <v>#REF!</v>
      </c>
    </row>
    <row r="51" spans="1:5" ht="22.5" customHeight="1">
      <c r="A51" s="41" t="e">
        <f>#REF!</f>
        <v>#REF!</v>
      </c>
      <c r="B51" s="41" t="s">
        <v>369</v>
      </c>
      <c r="C51" s="41" t="e">
        <f>#REF!</f>
        <v>#REF!</v>
      </c>
      <c r="D51" s="41" t="e">
        <f>#REF!</f>
        <v>#REF!</v>
      </c>
      <c r="E51" s="41" t="e">
        <f>#REF!</f>
        <v>#REF!</v>
      </c>
    </row>
    <row r="52" spans="1:5" ht="22.5" customHeight="1">
      <c r="A52" s="41" t="e">
        <f>#REF!</f>
        <v>#REF!</v>
      </c>
      <c r="B52" s="41" t="s">
        <v>369</v>
      </c>
      <c r="C52" s="41" t="e">
        <f>#REF!</f>
        <v>#REF!</v>
      </c>
      <c r="D52" s="41" t="e">
        <f>#REF!</f>
        <v>#REF!</v>
      </c>
      <c r="E52" s="41" t="e">
        <f>#REF!</f>
        <v>#REF!</v>
      </c>
    </row>
    <row r="53" spans="1:5" ht="22.5" customHeight="1">
      <c r="A53" s="83" t="e">
        <f>#REF!</f>
        <v>#REF!</v>
      </c>
      <c r="B53" s="41" t="s">
        <v>369</v>
      </c>
      <c r="C53" s="41" t="e">
        <f>#REF!</f>
        <v>#REF!</v>
      </c>
      <c r="D53" s="41" t="e">
        <f>#REF!</f>
        <v>#REF!</v>
      </c>
      <c r="E53" s="41" t="e">
        <f>#REF!</f>
        <v>#REF!</v>
      </c>
    </row>
    <row r="54" spans="1:5" ht="22.5" customHeight="1">
      <c r="A54" s="83" t="e">
        <f>#REF!</f>
        <v>#REF!</v>
      </c>
      <c r="B54" s="41" t="s">
        <v>369</v>
      </c>
      <c r="C54" s="41" t="e">
        <f>#REF!</f>
        <v>#REF!</v>
      </c>
      <c r="D54" s="41" t="e">
        <f>#REF!</f>
        <v>#REF!</v>
      </c>
      <c r="E54" s="41" t="e">
        <f>#REF!</f>
        <v>#REF!</v>
      </c>
    </row>
    <row r="55" spans="1:5" ht="22.5" customHeight="1">
      <c r="A55" s="83" t="e">
        <f>#REF!</f>
        <v>#REF!</v>
      </c>
      <c r="B55" s="41" t="s">
        <v>369</v>
      </c>
      <c r="C55" s="41" t="e">
        <f>#REF!</f>
        <v>#REF!</v>
      </c>
      <c r="D55" s="41" t="e">
        <f>#REF!</f>
        <v>#REF!</v>
      </c>
      <c r="E55" s="41" t="e">
        <f>#REF!</f>
        <v>#REF!</v>
      </c>
    </row>
    <row r="56" spans="1:5" ht="22.5" customHeight="1">
      <c r="A56" s="83" t="e">
        <f>#REF!</f>
        <v>#REF!</v>
      </c>
      <c r="B56" s="41" t="s">
        <v>369</v>
      </c>
      <c r="C56" s="41" t="e">
        <f>#REF!</f>
        <v>#REF!</v>
      </c>
      <c r="D56" s="41" t="e">
        <f>#REF!</f>
        <v>#REF!</v>
      </c>
      <c r="E56" s="41" t="e">
        <f>#REF!</f>
        <v>#REF!</v>
      </c>
    </row>
    <row r="57" spans="1:5" ht="22.5" customHeight="1">
      <c r="A57" s="83" t="e">
        <f>#REF!</f>
        <v>#REF!</v>
      </c>
      <c r="B57" s="41" t="s">
        <v>369</v>
      </c>
      <c r="C57" s="41" t="e">
        <f>#REF!</f>
        <v>#REF!</v>
      </c>
      <c r="D57" s="41" t="e">
        <f>#REF!</f>
        <v>#REF!</v>
      </c>
      <c r="E57" s="41" t="e">
        <f>#REF!</f>
        <v>#REF!</v>
      </c>
    </row>
    <row r="58" spans="1:5" ht="22.5" customHeight="1">
      <c r="A58" s="83" t="e">
        <f>#REF!</f>
        <v>#REF!</v>
      </c>
      <c r="B58" s="41" t="s">
        <v>369</v>
      </c>
      <c r="C58" s="41" t="e">
        <f>#REF!</f>
        <v>#REF!</v>
      </c>
      <c r="D58" s="41" t="e">
        <f>#REF!</f>
        <v>#REF!</v>
      </c>
      <c r="E58" s="41" t="e">
        <f>#REF!</f>
        <v>#REF!</v>
      </c>
    </row>
    <row r="59" spans="1:5" ht="22.5" customHeight="1">
      <c r="A59" s="41" t="e">
        <f>#REF!</f>
        <v>#REF!</v>
      </c>
      <c r="B59" s="41" t="s">
        <v>369</v>
      </c>
      <c r="C59" s="41" t="e">
        <f>#REF!</f>
        <v>#REF!</v>
      </c>
      <c r="D59" s="41" t="e">
        <f>#REF!</f>
        <v>#REF!</v>
      </c>
      <c r="E59" s="41" t="e">
        <f>#REF!</f>
        <v>#REF!</v>
      </c>
    </row>
    <row r="60" spans="1:5" ht="22.5" customHeight="1">
      <c r="A60" s="41" t="e">
        <f>#REF!</f>
        <v>#REF!</v>
      </c>
      <c r="B60" s="41" t="s">
        <v>369</v>
      </c>
      <c r="C60" s="41" t="e">
        <f>#REF!</f>
        <v>#REF!</v>
      </c>
      <c r="D60" s="41" t="e">
        <f>#REF!</f>
        <v>#REF!</v>
      </c>
      <c r="E60" s="41" t="e">
        <f>#REF!</f>
        <v>#REF!</v>
      </c>
    </row>
    <row r="61" spans="1:5" ht="22.5" customHeight="1">
      <c r="A61" s="41" t="e">
        <f>#REF!</f>
        <v>#REF!</v>
      </c>
      <c r="B61" s="41" t="s">
        <v>369</v>
      </c>
      <c r="C61" s="41" t="e">
        <f>#REF!</f>
        <v>#REF!</v>
      </c>
      <c r="D61" s="41" t="e">
        <f>#REF!</f>
        <v>#REF!</v>
      </c>
      <c r="E61" s="41" t="e">
        <f>#REF!</f>
        <v>#REF!</v>
      </c>
    </row>
    <row r="62" spans="1:5" ht="22.5" customHeight="1">
      <c r="A62" s="41" t="e">
        <f>#REF!</f>
        <v>#REF!</v>
      </c>
      <c r="B62" s="41" t="s">
        <v>369</v>
      </c>
      <c r="C62" s="41" t="e">
        <f>#REF!</f>
        <v>#REF!</v>
      </c>
      <c r="D62" s="41" t="e">
        <f>#REF!</f>
        <v>#REF!</v>
      </c>
      <c r="E62" s="41" t="e">
        <f>#REF!</f>
        <v>#REF!</v>
      </c>
    </row>
    <row r="63" spans="1:5" ht="22.5" customHeight="1">
      <c r="A63" s="41" t="e">
        <f>#REF!</f>
        <v>#REF!</v>
      </c>
      <c r="B63" s="41" t="s">
        <v>369</v>
      </c>
      <c r="C63" s="41" t="e">
        <f>#REF!</f>
        <v>#REF!</v>
      </c>
      <c r="D63" s="41" t="e">
        <f>#REF!</f>
        <v>#REF!</v>
      </c>
      <c r="E63" s="41" t="e">
        <f>#REF!</f>
        <v>#REF!</v>
      </c>
    </row>
    <row r="64" spans="1:5" ht="22.5" customHeight="1">
      <c r="A64" s="41" t="e">
        <f>#REF!</f>
        <v>#REF!</v>
      </c>
      <c r="B64" s="41" t="s">
        <v>369</v>
      </c>
      <c r="C64" s="41" t="e">
        <f>#REF!</f>
        <v>#REF!</v>
      </c>
      <c r="D64" s="41" t="e">
        <f>#REF!</f>
        <v>#REF!</v>
      </c>
      <c r="E64" s="41" t="e">
        <f>#REF!</f>
        <v>#REF!</v>
      </c>
    </row>
    <row r="65" spans="1:5" ht="22.5" customHeight="1">
      <c r="A65" s="41" t="e">
        <f>#REF!</f>
        <v>#REF!</v>
      </c>
      <c r="B65" s="41" t="s">
        <v>369</v>
      </c>
      <c r="C65" s="41" t="e">
        <f>#REF!</f>
        <v>#REF!</v>
      </c>
      <c r="D65" s="41" t="e">
        <f>#REF!</f>
        <v>#REF!</v>
      </c>
      <c r="E65" s="41" t="e">
        <f>#REF!</f>
        <v>#REF!</v>
      </c>
    </row>
    <row r="66" spans="1:5" ht="22.5" customHeight="1">
      <c r="A66" s="41" t="e">
        <f>#REF!</f>
        <v>#REF!</v>
      </c>
      <c r="B66" s="41" t="s">
        <v>369</v>
      </c>
      <c r="C66" s="41" t="e">
        <f>#REF!</f>
        <v>#REF!</v>
      </c>
      <c r="D66" s="41" t="e">
        <f>#REF!</f>
        <v>#REF!</v>
      </c>
      <c r="E66" s="41" t="e">
        <f>#REF!</f>
        <v>#REF!</v>
      </c>
    </row>
    <row r="67" spans="1:5" ht="22.5" customHeight="1">
      <c r="A67" s="41" t="e">
        <f>#REF!</f>
        <v>#REF!</v>
      </c>
      <c r="B67" s="41" t="s">
        <v>369</v>
      </c>
      <c r="C67" s="41" t="e">
        <f>#REF!</f>
        <v>#REF!</v>
      </c>
      <c r="D67" s="41" t="e">
        <f>#REF!</f>
        <v>#REF!</v>
      </c>
      <c r="E67" s="41" t="e">
        <f>#REF!</f>
        <v>#REF!</v>
      </c>
    </row>
    <row r="68" spans="1:5" ht="22.5" customHeight="1">
      <c r="A68" s="41" t="e">
        <f>#REF!</f>
        <v>#REF!</v>
      </c>
      <c r="B68" s="41" t="s">
        <v>369</v>
      </c>
      <c r="C68" s="41" t="e">
        <f>#REF!</f>
        <v>#REF!</v>
      </c>
      <c r="D68" s="41" t="e">
        <f>#REF!</f>
        <v>#REF!</v>
      </c>
      <c r="E68" s="41" t="e">
        <f>#REF!</f>
        <v>#REF!</v>
      </c>
    </row>
    <row r="69" spans="1:5" ht="22.5" customHeight="1">
      <c r="A69" s="41" t="e">
        <f>#REF!</f>
        <v>#REF!</v>
      </c>
      <c r="B69" s="41" t="s">
        <v>369</v>
      </c>
      <c r="C69" s="41" t="e">
        <f>#REF!</f>
        <v>#REF!</v>
      </c>
      <c r="D69" s="41" t="e">
        <f>#REF!</f>
        <v>#REF!</v>
      </c>
      <c r="E69" s="41" t="e">
        <f>#REF!</f>
        <v>#REF!</v>
      </c>
    </row>
    <row r="70" spans="1:5" ht="22.5" customHeight="1">
      <c r="A70" s="83" t="e">
        <f>#REF!</f>
        <v>#REF!</v>
      </c>
      <c r="B70" s="41" t="s">
        <v>369</v>
      </c>
      <c r="C70" s="41" t="e">
        <f>#REF!</f>
        <v>#REF!</v>
      </c>
      <c r="D70" s="41" t="e">
        <f>#REF!</f>
        <v>#REF!</v>
      </c>
      <c r="E70" s="41" t="e">
        <f>#REF!</f>
        <v>#REF!</v>
      </c>
    </row>
    <row r="71" spans="1:5" ht="22.5" customHeight="1">
      <c r="A71" s="41" t="e">
        <f>#REF!</f>
        <v>#REF!</v>
      </c>
      <c r="B71" s="41" t="s">
        <v>369</v>
      </c>
      <c r="C71" s="41" t="e">
        <f>#REF!</f>
        <v>#REF!</v>
      </c>
      <c r="D71" s="41" t="e">
        <f>#REF!</f>
        <v>#REF!</v>
      </c>
      <c r="E71" s="41" t="e">
        <f>#REF!</f>
        <v>#REF!</v>
      </c>
    </row>
    <row r="72" spans="1:5" ht="22.5" customHeight="1">
      <c r="A72" s="83" t="e">
        <f>#REF!</f>
        <v>#REF!</v>
      </c>
      <c r="B72" s="41" t="s">
        <v>369</v>
      </c>
      <c r="C72" s="41" t="e">
        <f>#REF!</f>
        <v>#REF!</v>
      </c>
      <c r="D72" s="41" t="e">
        <f>#REF!</f>
        <v>#REF!</v>
      </c>
      <c r="E72" s="41" t="e">
        <f>#REF!</f>
        <v>#REF!</v>
      </c>
    </row>
    <row r="73" spans="1:5" ht="22.5" customHeight="1">
      <c r="A73" s="83" t="e">
        <f>#REF!</f>
        <v>#REF!</v>
      </c>
      <c r="B73" s="41" t="s">
        <v>369</v>
      </c>
      <c r="C73" s="41" t="e">
        <f>#REF!</f>
        <v>#REF!</v>
      </c>
      <c r="D73" s="41" t="e">
        <f>#REF!</f>
        <v>#REF!</v>
      </c>
      <c r="E73" s="41" t="e">
        <f>#REF!</f>
        <v>#REF!</v>
      </c>
    </row>
    <row r="74" spans="1:5" ht="22.5" customHeight="1">
      <c r="A74" s="83" t="e">
        <f>#REF!</f>
        <v>#REF!</v>
      </c>
      <c r="B74" s="41" t="s">
        <v>369</v>
      </c>
      <c r="C74" s="41" t="e">
        <f>#REF!</f>
        <v>#REF!</v>
      </c>
      <c r="D74" s="41" t="e">
        <f>#REF!</f>
        <v>#REF!</v>
      </c>
      <c r="E74" s="41" t="e">
        <f>#REF!</f>
        <v>#REF!</v>
      </c>
    </row>
    <row r="75" spans="1:5" ht="22.5" customHeight="1">
      <c r="A75" s="41" t="e">
        <f>#REF!</f>
        <v>#REF!</v>
      </c>
      <c r="B75" s="41" t="s">
        <v>369</v>
      </c>
      <c r="C75" s="41" t="e">
        <f>#REF!</f>
        <v>#REF!</v>
      </c>
      <c r="D75" s="41" t="e">
        <f>#REF!</f>
        <v>#REF!</v>
      </c>
      <c r="E75" s="41" t="e">
        <f>#REF!</f>
        <v>#REF!</v>
      </c>
    </row>
    <row r="76" spans="1:5" ht="22.5" customHeight="1">
      <c r="A76" s="83" t="e">
        <f>#REF!</f>
        <v>#REF!</v>
      </c>
      <c r="B76" s="41" t="s">
        <v>369</v>
      </c>
      <c r="C76" s="41" t="e">
        <f>#REF!</f>
        <v>#REF!</v>
      </c>
      <c r="D76" s="41" t="e">
        <f>#REF!</f>
        <v>#REF!</v>
      </c>
      <c r="E76" s="41" t="e">
        <f>#REF!</f>
        <v>#REF!</v>
      </c>
    </row>
    <row r="77" spans="1:5" ht="22.5" customHeight="1">
      <c r="A77" s="41" t="e">
        <f>#REF!</f>
        <v>#REF!</v>
      </c>
      <c r="B77" s="41" t="s">
        <v>369</v>
      </c>
      <c r="C77" s="41" t="e">
        <f>#REF!</f>
        <v>#REF!</v>
      </c>
      <c r="D77" s="41" t="e">
        <f>#REF!</f>
        <v>#REF!</v>
      </c>
      <c r="E77" s="41" t="e">
        <f>#REF!</f>
        <v>#REF!</v>
      </c>
    </row>
    <row r="78" spans="1:5" ht="22.5" customHeight="1">
      <c r="A78" s="83" t="e">
        <f>#REF!</f>
        <v>#REF!</v>
      </c>
      <c r="B78" s="41" t="s">
        <v>369</v>
      </c>
      <c r="C78" s="41" t="e">
        <f>#REF!</f>
        <v>#REF!</v>
      </c>
      <c r="D78" s="41" t="e">
        <f>#REF!</f>
        <v>#REF!</v>
      </c>
      <c r="E78" s="41" t="e">
        <f>#REF!</f>
        <v>#REF!</v>
      </c>
    </row>
    <row r="79" spans="1:5" ht="22.5" customHeight="1">
      <c r="A79" s="41" t="e">
        <f>#REF!</f>
        <v>#REF!</v>
      </c>
      <c r="B79" s="41" t="s">
        <v>369</v>
      </c>
      <c r="C79" s="41" t="e">
        <f>#REF!</f>
        <v>#REF!</v>
      </c>
      <c r="D79" s="41" t="e">
        <f>#REF!</f>
        <v>#REF!</v>
      </c>
      <c r="E79" s="41" t="e">
        <f>#REF!</f>
        <v>#REF!</v>
      </c>
    </row>
    <row r="80" spans="1:5" ht="22.5" customHeight="1">
      <c r="A80" s="83" t="e">
        <f>#REF!</f>
        <v>#REF!</v>
      </c>
      <c r="B80" s="41" t="s">
        <v>369</v>
      </c>
      <c r="C80" s="41" t="e">
        <f>#REF!</f>
        <v>#REF!</v>
      </c>
      <c r="D80" s="41" t="e">
        <f>#REF!</f>
        <v>#REF!</v>
      </c>
      <c r="E80" s="41" t="e">
        <f>#REF!</f>
        <v>#REF!</v>
      </c>
    </row>
    <row r="81" spans="1:5" ht="22.5" customHeight="1">
      <c r="A81" s="41" t="e">
        <f>#REF!</f>
        <v>#REF!</v>
      </c>
      <c r="B81" s="41" t="s">
        <v>369</v>
      </c>
      <c r="C81" s="41" t="e">
        <f>#REF!</f>
        <v>#REF!</v>
      </c>
      <c r="D81" s="41" t="e">
        <f>#REF!</f>
        <v>#REF!</v>
      </c>
      <c r="E81" s="41" t="e">
        <f>#REF!</f>
        <v>#REF!</v>
      </c>
    </row>
    <row r="82" spans="1:5" ht="22.5" customHeight="1">
      <c r="A82" s="41" t="e">
        <f>#REF!</f>
        <v>#REF!</v>
      </c>
      <c r="B82" s="41" t="s">
        <v>369</v>
      </c>
      <c r="C82" s="41" t="e">
        <f>#REF!</f>
        <v>#REF!</v>
      </c>
      <c r="D82" s="41" t="e">
        <f>#REF!</f>
        <v>#REF!</v>
      </c>
      <c r="E82" s="41" t="e">
        <f>#REF!</f>
        <v>#REF!</v>
      </c>
    </row>
    <row r="83" spans="1:5" ht="22.5" customHeight="1">
      <c r="A83" s="41" t="e">
        <f>#REF!</f>
        <v>#REF!</v>
      </c>
      <c r="B83" s="41" t="s">
        <v>369</v>
      </c>
      <c r="C83" s="41" t="e">
        <f>#REF!</f>
        <v>#REF!</v>
      </c>
      <c r="D83" s="41" t="e">
        <f>#REF!</f>
        <v>#REF!</v>
      </c>
      <c r="E83" s="41" t="e">
        <f>#REF!</f>
        <v>#REF!</v>
      </c>
    </row>
    <row r="84" spans="1:5" ht="22.5" customHeight="1">
      <c r="A84" s="83" t="e">
        <f>#REF!</f>
        <v>#REF!</v>
      </c>
      <c r="B84" s="41" t="s">
        <v>369</v>
      </c>
      <c r="C84" s="41" t="e">
        <f>#REF!</f>
        <v>#REF!</v>
      </c>
      <c r="D84" s="41" t="e">
        <f>#REF!</f>
        <v>#REF!</v>
      </c>
      <c r="E84" s="41" t="e">
        <f>#REF!</f>
        <v>#REF!</v>
      </c>
    </row>
    <row r="85" spans="1:5" ht="22.5" customHeight="1">
      <c r="A85" s="41" t="e">
        <f>#REF!</f>
        <v>#REF!</v>
      </c>
      <c r="B85" s="41" t="s">
        <v>369</v>
      </c>
      <c r="C85" s="41" t="e">
        <f>#REF!</f>
        <v>#REF!</v>
      </c>
      <c r="D85" s="41" t="e">
        <f>#REF!</f>
        <v>#REF!</v>
      </c>
      <c r="E85" s="41" t="e">
        <f>#REF!</f>
        <v>#REF!</v>
      </c>
    </row>
    <row r="86" spans="1:5" ht="22.5" customHeight="1">
      <c r="A86" s="41" t="e">
        <f>#REF!</f>
        <v>#REF!</v>
      </c>
      <c r="B86" s="41" t="s">
        <v>369</v>
      </c>
      <c r="C86" s="41" t="e">
        <f>#REF!</f>
        <v>#REF!</v>
      </c>
      <c r="D86" s="41" t="e">
        <f>#REF!</f>
        <v>#REF!</v>
      </c>
      <c r="E86" s="41" t="e">
        <f>#REF!</f>
        <v>#REF!</v>
      </c>
    </row>
    <row r="87" spans="1:5" ht="22.5" customHeight="1">
      <c r="A87" s="41" t="e">
        <f>#REF!</f>
        <v>#REF!</v>
      </c>
      <c r="B87" s="41" t="s">
        <v>369</v>
      </c>
      <c r="C87" s="41" t="e">
        <f>#REF!</f>
        <v>#REF!</v>
      </c>
      <c r="D87" s="41" t="e">
        <f>#REF!</f>
        <v>#REF!</v>
      </c>
      <c r="E87" s="41" t="e">
        <f>#REF!</f>
        <v>#REF!</v>
      </c>
    </row>
    <row r="88" spans="1:5" ht="22.5" customHeight="1">
      <c r="A88" s="41" t="e">
        <f>#REF!</f>
        <v>#REF!</v>
      </c>
      <c r="B88" s="41" t="s">
        <v>369</v>
      </c>
      <c r="C88" s="41" t="e">
        <f>#REF!</f>
        <v>#REF!</v>
      </c>
      <c r="D88" s="41" t="e">
        <f>#REF!</f>
        <v>#REF!</v>
      </c>
      <c r="E88" s="41" t="e">
        <f>#REF!</f>
        <v>#REF!</v>
      </c>
    </row>
    <row r="89" spans="1:5" ht="22.5" customHeight="1">
      <c r="A89" s="41" t="e">
        <f>#REF!</f>
        <v>#REF!</v>
      </c>
      <c r="B89" s="41" t="s">
        <v>369</v>
      </c>
      <c r="C89" s="41" t="e">
        <f>#REF!</f>
        <v>#REF!</v>
      </c>
      <c r="D89" s="41" t="e">
        <f>#REF!</f>
        <v>#REF!</v>
      </c>
      <c r="E89" s="41" t="e">
        <f>#REF!</f>
        <v>#REF!</v>
      </c>
    </row>
    <row r="90" spans="1:5" ht="22.5" customHeight="1">
      <c r="A90" s="41" t="e">
        <f>#REF!</f>
        <v>#REF!</v>
      </c>
      <c r="B90" s="41" t="s">
        <v>369</v>
      </c>
      <c r="C90" s="41" t="e">
        <f>#REF!</f>
        <v>#REF!</v>
      </c>
      <c r="D90" s="41" t="e">
        <f>#REF!</f>
        <v>#REF!</v>
      </c>
      <c r="E90" s="41" t="e">
        <f>#REF!</f>
        <v>#REF!</v>
      </c>
    </row>
    <row r="91" spans="1:5" ht="22.5" customHeight="1">
      <c r="A91" s="41" t="e">
        <f>#REF!</f>
        <v>#REF!</v>
      </c>
      <c r="B91" s="41" t="s">
        <v>369</v>
      </c>
      <c r="C91" s="41" t="e">
        <f>#REF!</f>
        <v>#REF!</v>
      </c>
      <c r="D91" s="41" t="e">
        <f>#REF!</f>
        <v>#REF!</v>
      </c>
      <c r="E91" s="41" t="e">
        <f>#REF!</f>
        <v>#REF!</v>
      </c>
    </row>
    <row r="92" spans="1:5" ht="22.5" customHeight="1">
      <c r="A92" s="41" t="e">
        <f>#REF!</f>
        <v>#REF!</v>
      </c>
      <c r="B92" s="41" t="s">
        <v>369</v>
      </c>
      <c r="C92" s="41" t="e">
        <f>#REF!</f>
        <v>#REF!</v>
      </c>
      <c r="D92" s="41" t="e">
        <f>#REF!</f>
        <v>#REF!</v>
      </c>
      <c r="E92" s="41" t="e">
        <f>#REF!</f>
        <v>#REF!</v>
      </c>
    </row>
    <row r="93" spans="1:5" ht="22.5" customHeight="1">
      <c r="A93" s="41" t="e">
        <f>#REF!</f>
        <v>#REF!</v>
      </c>
      <c r="B93" s="41" t="s">
        <v>369</v>
      </c>
      <c r="C93" s="41" t="e">
        <f>#REF!</f>
        <v>#REF!</v>
      </c>
      <c r="D93" s="41" t="e">
        <f>#REF!</f>
        <v>#REF!</v>
      </c>
      <c r="E93" s="41" t="e">
        <f>#REF!</f>
        <v>#REF!</v>
      </c>
    </row>
    <row r="94" spans="1:5" ht="22.5" customHeight="1">
      <c r="A94" s="41" t="e">
        <f>#REF!</f>
        <v>#REF!</v>
      </c>
      <c r="B94" s="41" t="s">
        <v>369</v>
      </c>
      <c r="C94" s="41" t="e">
        <f>#REF!</f>
        <v>#REF!</v>
      </c>
      <c r="D94" s="41" t="e">
        <f>#REF!</f>
        <v>#REF!</v>
      </c>
      <c r="E94" s="41" t="e">
        <f>#REF!</f>
        <v>#REF!</v>
      </c>
    </row>
    <row r="95" spans="1:5" ht="22.5" customHeight="1">
      <c r="A95" s="41" t="e">
        <f>#REF!</f>
        <v>#REF!</v>
      </c>
      <c r="B95" s="41" t="s">
        <v>369</v>
      </c>
      <c r="C95" s="41" t="e">
        <f>#REF!</f>
        <v>#REF!</v>
      </c>
      <c r="D95" s="41" t="e">
        <f>#REF!</f>
        <v>#REF!</v>
      </c>
      <c r="E95" s="41" t="e">
        <f>#REF!</f>
        <v>#REF!</v>
      </c>
    </row>
    <row r="96" spans="1:5" ht="22.5" customHeight="1">
      <c r="A96" s="41" t="e">
        <f>#REF!</f>
        <v>#REF!</v>
      </c>
      <c r="B96" s="41" t="s">
        <v>369</v>
      </c>
      <c r="C96" s="41" t="e">
        <f>#REF!</f>
        <v>#REF!</v>
      </c>
      <c r="D96" s="41" t="e">
        <f>#REF!</f>
        <v>#REF!</v>
      </c>
      <c r="E96" s="41" t="e">
        <f>#REF!</f>
        <v>#REF!</v>
      </c>
    </row>
    <row r="97" spans="1:5" ht="22.5" customHeight="1">
      <c r="A97" s="41" t="e">
        <f>#REF!</f>
        <v>#REF!</v>
      </c>
      <c r="B97" s="41" t="s">
        <v>369</v>
      </c>
      <c r="C97" s="41" t="e">
        <f>#REF!</f>
        <v>#REF!</v>
      </c>
      <c r="D97" s="41" t="e">
        <f>#REF!</f>
        <v>#REF!</v>
      </c>
      <c r="E97" s="41" t="e">
        <f>#REF!</f>
        <v>#REF!</v>
      </c>
    </row>
    <row r="98" spans="1:5" ht="22.5" customHeight="1">
      <c r="A98" s="41" t="e">
        <f>#REF!</f>
        <v>#REF!</v>
      </c>
      <c r="B98" s="41" t="s">
        <v>369</v>
      </c>
      <c r="C98" s="41" t="e">
        <f>#REF!</f>
        <v>#REF!</v>
      </c>
      <c r="D98" s="41" t="e">
        <f>#REF!</f>
        <v>#REF!</v>
      </c>
      <c r="E98" s="41" t="e">
        <f>#REF!</f>
        <v>#REF!</v>
      </c>
    </row>
    <row r="99" spans="1:5" ht="22.5" customHeight="1">
      <c r="A99" s="41" t="e">
        <f>#REF!</f>
        <v>#REF!</v>
      </c>
      <c r="B99" s="41" t="s">
        <v>369</v>
      </c>
      <c r="C99" s="41" t="e">
        <f>#REF!</f>
        <v>#REF!</v>
      </c>
      <c r="D99" s="41" t="e">
        <f>#REF!</f>
        <v>#REF!</v>
      </c>
      <c r="E99" s="41" t="e">
        <f>#REF!</f>
        <v>#REF!</v>
      </c>
    </row>
    <row r="100" spans="1:5" ht="22.5" customHeight="1">
      <c r="A100" s="41" t="e">
        <f>#REF!</f>
        <v>#REF!</v>
      </c>
      <c r="B100" s="41" t="s">
        <v>369</v>
      </c>
      <c r="C100" s="41" t="e">
        <f t="shared" ref="C100:E100" si="0">#REF!</f>
        <v>#REF!</v>
      </c>
      <c r="D100" s="41" t="e">
        <f t="shared" si="0"/>
        <v>#REF!</v>
      </c>
      <c r="E100" s="41" t="e">
        <f t="shared" si="0"/>
        <v>#REF!</v>
      </c>
    </row>
    <row r="101" spans="1:5" ht="22.5" customHeight="1">
      <c r="A101" s="41" t="e">
        <f>#REF!</f>
        <v>#REF!</v>
      </c>
      <c r="B101" s="41" t="s">
        <v>369</v>
      </c>
      <c r="C101" s="41" t="e">
        <f>#REF!</f>
        <v>#REF!</v>
      </c>
      <c r="D101" s="41" t="e">
        <f>#REF!</f>
        <v>#REF!</v>
      </c>
      <c r="E101" s="41" t="e">
        <f>#REF!</f>
        <v>#REF!</v>
      </c>
    </row>
    <row r="102" spans="1:5" ht="22.5" customHeight="1">
      <c r="A102" s="41" t="e">
        <f>#REF!</f>
        <v>#REF!</v>
      </c>
      <c r="B102" s="41" t="s">
        <v>369</v>
      </c>
      <c r="C102" s="41" t="e">
        <f>#REF!</f>
        <v>#REF!</v>
      </c>
      <c r="D102" s="41" t="e">
        <f>#REF!</f>
        <v>#REF!</v>
      </c>
      <c r="E102" s="41" t="e">
        <f>#REF!</f>
        <v>#REF!</v>
      </c>
    </row>
    <row r="103" spans="1:5" ht="22.5" customHeight="1">
      <c r="A103" s="41" t="e">
        <f>#REF!</f>
        <v>#REF!</v>
      </c>
      <c r="B103" s="41" t="s">
        <v>369</v>
      </c>
      <c r="C103" s="41" t="e">
        <f>#REF!</f>
        <v>#REF!</v>
      </c>
      <c r="D103" s="41" t="e">
        <f>#REF!</f>
        <v>#REF!</v>
      </c>
      <c r="E103" s="41" t="e">
        <f>#REF!</f>
        <v>#REF!</v>
      </c>
    </row>
    <row r="104" spans="1:5" ht="22.5" customHeight="1">
      <c r="A104" s="41" t="e">
        <f>#REF!</f>
        <v>#REF!</v>
      </c>
      <c r="B104" s="41" t="s">
        <v>369</v>
      </c>
      <c r="C104" s="41" t="e">
        <f>#REF!</f>
        <v>#REF!</v>
      </c>
      <c r="D104" s="41" t="e">
        <f>#REF!</f>
        <v>#REF!</v>
      </c>
      <c r="E104" s="41" t="e">
        <f>#REF!</f>
        <v>#REF!</v>
      </c>
    </row>
    <row r="105" spans="1:5" ht="22.5" customHeight="1">
      <c r="A105" s="41" t="e">
        <f>#REF!</f>
        <v>#REF!</v>
      </c>
      <c r="B105" s="41" t="s">
        <v>369</v>
      </c>
      <c r="C105" s="41" t="e">
        <f>#REF!</f>
        <v>#REF!</v>
      </c>
      <c r="D105" s="41" t="e">
        <f>#REF!</f>
        <v>#REF!</v>
      </c>
      <c r="E105" s="41" t="e">
        <f>#REF!</f>
        <v>#REF!</v>
      </c>
    </row>
    <row r="106" spans="1:5" ht="22.5" customHeight="1">
      <c r="A106" s="41" t="e">
        <f>#REF!</f>
        <v>#REF!</v>
      </c>
      <c r="B106" s="41" t="s">
        <v>369</v>
      </c>
      <c r="C106" s="41" t="e">
        <f>#REF!</f>
        <v>#REF!</v>
      </c>
      <c r="D106" s="41" t="e">
        <f>#REF!</f>
        <v>#REF!</v>
      </c>
      <c r="E106" s="41" t="e">
        <f>#REF!</f>
        <v>#REF!</v>
      </c>
    </row>
    <row r="107" spans="1:5" ht="22.5" customHeight="1">
      <c r="A107" s="41" t="e">
        <f>#REF!</f>
        <v>#REF!</v>
      </c>
      <c r="B107" s="41" t="s">
        <v>369</v>
      </c>
      <c r="C107" s="41" t="e">
        <f>#REF!</f>
        <v>#REF!</v>
      </c>
      <c r="D107" s="41" t="e">
        <f>#REF!</f>
        <v>#REF!</v>
      </c>
      <c r="E107" s="41" t="e">
        <f>#REF!</f>
        <v>#REF!</v>
      </c>
    </row>
  </sheetData>
  <pageMargins left="0.7" right="0.7" top="0.75" bottom="0.75" header="0.3" footer="0.3"/>
  <drawing r:id="rId3"/>
  <tableParts count="2">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5818E"/>
    <outlinePr summaryBelow="0" summaryRight="0"/>
  </sheetPr>
  <dimension ref="A1:AC607"/>
  <sheetViews>
    <sheetView tabSelected="1" zoomScale="50" zoomScaleNormal="50" workbookViewId="0">
      <pane xSplit="5" ySplit="9" topLeftCell="F90" activePane="bottomRight" state="frozen"/>
      <selection pane="topRight" activeCell="F1" sqref="F1"/>
      <selection pane="bottomLeft" activeCell="A10" sqref="A10"/>
      <selection pane="bottomRight" activeCell="F20" sqref="F20"/>
    </sheetView>
  </sheetViews>
  <sheetFormatPr defaultColWidth="12.59765625" defaultRowHeight="15" customHeight="1"/>
  <cols>
    <col min="1" max="1" width="4" hidden="1" customWidth="1"/>
    <col min="2" max="2" width="8" customWidth="1"/>
    <col min="3" max="3" width="22.86328125" customWidth="1"/>
    <col min="4" max="4" width="40" customWidth="1"/>
    <col min="5" max="5" width="32.59765625" customWidth="1"/>
    <col min="6" max="12" width="15.59765625" customWidth="1"/>
    <col min="13" max="13" width="12.59765625" hidden="1" customWidth="1"/>
    <col min="15" max="15" width="20.1328125" customWidth="1"/>
    <col min="16" max="16" width="11.46484375" customWidth="1"/>
    <col min="17" max="17" width="11.265625" customWidth="1"/>
    <col min="18" max="18" width="13" customWidth="1"/>
    <col min="19" max="19" width="20.1328125" customWidth="1"/>
    <col min="20" max="20" width="18.3984375" hidden="1" customWidth="1"/>
    <col min="21" max="21" width="16" hidden="1" customWidth="1"/>
    <col min="22" max="22" width="20" hidden="1" customWidth="1"/>
    <col min="23" max="23" width="42.73046875" hidden="1" customWidth="1"/>
    <col min="24" max="24" width="44.86328125" hidden="1" customWidth="1"/>
  </cols>
  <sheetData>
    <row r="1" spans="1:29" ht="15.75" customHeight="1">
      <c r="A1" s="88"/>
      <c r="B1" s="158" t="s">
        <v>348</v>
      </c>
      <c r="C1" s="169" t="s">
        <v>375</v>
      </c>
      <c r="D1" s="159"/>
      <c r="E1" s="4"/>
      <c r="F1" s="5" t="s">
        <v>4</v>
      </c>
      <c r="G1" s="5" t="s">
        <v>376</v>
      </c>
      <c r="H1" s="5" t="s">
        <v>377</v>
      </c>
      <c r="I1" s="5" t="s">
        <v>378</v>
      </c>
      <c r="J1" s="5" t="s">
        <v>379</v>
      </c>
      <c r="K1" s="5" t="s">
        <v>380</v>
      </c>
      <c r="L1" s="5" t="s">
        <v>381</v>
      </c>
      <c r="M1" s="89" t="s">
        <v>382</v>
      </c>
      <c r="O1" s="170" t="s">
        <v>383</v>
      </c>
      <c r="P1" s="159"/>
      <c r="Q1" s="159"/>
      <c r="R1" s="159"/>
      <c r="S1" s="159"/>
      <c r="T1" s="90"/>
    </row>
    <row r="2" spans="1:29" ht="15.75" customHeight="1">
      <c r="A2" s="88"/>
      <c r="B2" s="159"/>
      <c r="C2" s="171" t="s">
        <v>384</v>
      </c>
      <c r="D2" s="159"/>
      <c r="E2" s="5" t="s">
        <v>10</v>
      </c>
      <c r="F2" s="6">
        <f>COUNTIF($F$10:F42,$E$2)/$C$7</f>
        <v>0.41860465116279072</v>
      </c>
      <c r="G2" s="6">
        <f t="shared" ref="G2:H2" si="0">COUNTIF(G$10:$H42,$E$2)/$C$7</f>
        <v>0.93023255813953487</v>
      </c>
      <c r="H2" s="6">
        <f t="shared" si="0"/>
        <v>0.46511627906976744</v>
      </c>
      <c r="I2" s="6">
        <f>COUNTIF(H$10:$I42,$E$2)/$C$7</f>
        <v>0.93023255813953487</v>
      </c>
      <c r="J2" s="6">
        <f>COUNTIF($L$10:L14,$E$2)/$C$7</f>
        <v>0</v>
      </c>
      <c r="K2" s="6">
        <f>COUNTIF($L$10:L14,$E$2)/$C$7</f>
        <v>0</v>
      </c>
      <c r="L2" s="6">
        <f>COUNTIF($L$10:L14,$E$2)/$C$7</f>
        <v>0</v>
      </c>
      <c r="M2" s="6"/>
      <c r="O2" s="159"/>
      <c r="P2" s="159"/>
      <c r="Q2" s="159"/>
      <c r="R2" s="159"/>
      <c r="S2" s="159"/>
    </row>
    <row r="3" spans="1:29" ht="15.75" customHeight="1">
      <c r="A3" s="88"/>
      <c r="B3" s="159"/>
      <c r="C3" s="172" t="s">
        <v>385</v>
      </c>
      <c r="D3" s="159"/>
      <c r="E3" s="7" t="s">
        <v>386</v>
      </c>
      <c r="F3" s="6">
        <f>COUNTIF($F$10:F42,$E$3)/$C$7</f>
        <v>0.11627906976744186</v>
      </c>
      <c r="G3" s="6">
        <f t="shared" ref="G3:H3" si="1">COUNTIF(G$10:$H42,$E$3)/$C$7</f>
        <v>0.13953488372093023</v>
      </c>
      <c r="H3" s="6">
        <f t="shared" si="1"/>
        <v>6.9767441860465115E-2</v>
      </c>
      <c r="I3" s="6">
        <f>COUNTIF(H$10:$I42,$E$3)/$C$7</f>
        <v>0.13953488372093023</v>
      </c>
      <c r="J3" s="6">
        <f>COUNTIF($L$10:L42,$E$3)/$C$7</f>
        <v>6.9767441860465115E-2</v>
      </c>
      <c r="K3" s="6">
        <f>COUNTIF($L$10:L42,$E$3)/$C$7</f>
        <v>6.9767441860465115E-2</v>
      </c>
      <c r="L3" s="6">
        <f>COUNTIF($L$10:L42,$E$3)/$C$7</f>
        <v>6.9767441860465115E-2</v>
      </c>
      <c r="M3" s="6"/>
      <c r="O3" s="159"/>
      <c r="P3" s="159"/>
      <c r="Q3" s="159"/>
      <c r="R3" s="159"/>
      <c r="S3" s="159"/>
    </row>
    <row r="4" spans="1:29" ht="15.75" customHeight="1">
      <c r="A4" s="88"/>
      <c r="B4" s="159"/>
      <c r="C4" s="173" t="s">
        <v>387</v>
      </c>
      <c r="D4" s="159"/>
      <c r="E4" s="5" t="s">
        <v>12</v>
      </c>
      <c r="F4" s="6">
        <f>COUNTIF($F$10:F42,$E$4)/$C$7</f>
        <v>0.16279069767441862</v>
      </c>
      <c r="G4" s="6">
        <f t="shared" ref="G4:H4" si="2">COUNTIF(G$10:$H42,$E$4)/$C$7</f>
        <v>0.32558139534883723</v>
      </c>
      <c r="H4" s="6">
        <f t="shared" si="2"/>
        <v>0.16279069767441862</v>
      </c>
      <c r="I4" s="6">
        <f>COUNTIF(H$10:$I42,$E$4)/$C$7</f>
        <v>0.32558139534883723</v>
      </c>
      <c r="J4" s="6">
        <f>COUNTIF($L$10:L42,$E$4)/$C$7</f>
        <v>0.16279069767441862</v>
      </c>
      <c r="K4" s="6">
        <f>COUNTIF($L$10:L42,$E$4)/$C$7</f>
        <v>0.16279069767441862</v>
      </c>
      <c r="L4" s="6">
        <f>COUNTIF($L$10:L42,$E$4)/$C$7</f>
        <v>0.16279069767441862</v>
      </c>
      <c r="M4" s="6"/>
      <c r="O4" s="159"/>
      <c r="P4" s="159"/>
      <c r="Q4" s="159"/>
      <c r="R4" s="159"/>
      <c r="S4" s="159"/>
    </row>
    <row r="5" spans="1:29" ht="15.75" customHeight="1">
      <c r="A5" s="88"/>
      <c r="B5" s="159"/>
      <c r="C5" s="60"/>
      <c r="D5" s="60"/>
      <c r="E5" s="5" t="s">
        <v>13</v>
      </c>
      <c r="F5" s="6">
        <f>COUNTIF($F$10:F42,$E$5)/$C$7</f>
        <v>0</v>
      </c>
      <c r="G5" s="6">
        <f t="shared" ref="G5:H5" si="3">COUNTIF(G$10:$H42,$E$5)/$C$7</f>
        <v>0</v>
      </c>
      <c r="H5" s="6">
        <f t="shared" si="3"/>
        <v>0</v>
      </c>
      <c r="I5" s="6">
        <f>COUNTIF(H$10:$I42,$E$5)/$C$7</f>
        <v>0</v>
      </c>
      <c r="J5" s="6">
        <f>COUNTIF($L$10:L42,$E$5)/$C$7</f>
        <v>0</v>
      </c>
      <c r="K5" s="6">
        <f>COUNTIF($L$10:L42,$E$5)/$C$7</f>
        <v>0</v>
      </c>
      <c r="L5" s="6">
        <f>COUNTIF($L$10:L42,$E$5)/$C$7</f>
        <v>0</v>
      </c>
      <c r="M5" s="6"/>
      <c r="N5" s="61"/>
      <c r="O5" s="159"/>
      <c r="P5" s="159"/>
      <c r="Q5" s="159"/>
      <c r="R5" s="159"/>
      <c r="S5" s="159"/>
    </row>
    <row r="6" spans="1:29" ht="15.75" customHeight="1">
      <c r="A6" s="88"/>
      <c r="B6" s="60"/>
      <c r="C6" s="60"/>
      <c r="D6" s="60"/>
      <c r="E6" s="5" t="s">
        <v>14</v>
      </c>
      <c r="F6" s="6">
        <f>COUNTIFS($F$10:F42, "", $F$10:F42, "&lt;&gt;N/A", $F$10:F42, "&lt;&gt;.") / $C$7</f>
        <v>2.3255813953488372E-2</v>
      </c>
      <c r="G6" s="6">
        <f t="shared" ref="G6:H6" si="4">COUNTIFS(G$10:$H42, "", G$10:$H42, "&lt;&gt;N/A", G$10:$H42, "&lt;&gt;.") / $C$7</f>
        <v>6.9767441860465115E-2</v>
      </c>
      <c r="H6" s="6">
        <f t="shared" si="4"/>
        <v>4.6511627906976744E-2</v>
      </c>
      <c r="I6" s="6">
        <f>COUNTIFS(H$10:$I42, "", H$10:$I42, "&lt;&gt;N/A", H$10:$I42, "&lt;&gt;.") / $C$7</f>
        <v>6.9767441860465115E-2</v>
      </c>
      <c r="J6" s="6">
        <f>COUNTIFS($L$10:L42, "", $L$10:L42, "&lt;&gt;N/A", $L$10:L42, "&lt;&gt;.") / $C$7</f>
        <v>2.3255813953488372E-2</v>
      </c>
      <c r="K6" s="6">
        <f>COUNTIFS($L$10:L42, "", $L$10:L42, "&lt;&gt;N/A", $L$10:L42, "&lt;&gt;.") / $C$7</f>
        <v>2.3255813953488372E-2</v>
      </c>
      <c r="L6" s="6">
        <f>COUNTIFS($L$10:L42, "", $L$10:L42, "&lt;&gt;N/A", $L$10:L42, "&lt;&gt;.") / $C$7</f>
        <v>2.3255813953488372E-2</v>
      </c>
      <c r="M6" s="6"/>
      <c r="O6" s="159"/>
      <c r="P6" s="159"/>
      <c r="Q6" s="159"/>
      <c r="R6" s="159"/>
      <c r="S6" s="159"/>
    </row>
    <row r="7" spans="1:29" ht="15.75" customHeight="1">
      <c r="A7" s="88"/>
      <c r="B7" s="86" t="s">
        <v>349</v>
      </c>
      <c r="C7" s="87">
        <f>COUNTIF(A:A,"TC")</f>
        <v>43</v>
      </c>
      <c r="D7" s="60"/>
      <c r="E7" s="7" t="s">
        <v>15</v>
      </c>
      <c r="F7" s="91">
        <f t="shared" ref="F7:L7" si="5">100% - F6</f>
        <v>0.97674418604651159</v>
      </c>
      <c r="G7" s="91">
        <f t="shared" si="5"/>
        <v>0.93023255813953487</v>
      </c>
      <c r="H7" s="91">
        <f t="shared" si="5"/>
        <v>0.95348837209302328</v>
      </c>
      <c r="I7" s="91">
        <f t="shared" si="5"/>
        <v>0.93023255813953487</v>
      </c>
      <c r="J7" s="91">
        <f t="shared" si="5"/>
        <v>0.97674418604651159</v>
      </c>
      <c r="K7" s="91">
        <f t="shared" si="5"/>
        <v>0.97674418604651159</v>
      </c>
      <c r="L7" s="91">
        <f t="shared" si="5"/>
        <v>0.97674418604651159</v>
      </c>
      <c r="M7" s="91"/>
      <c r="N7" s="61"/>
      <c r="O7" s="159"/>
      <c r="P7" s="159"/>
      <c r="Q7" s="159"/>
      <c r="R7" s="159"/>
      <c r="S7" s="159"/>
    </row>
    <row r="8" spans="1:29" ht="15.75" customHeight="1">
      <c r="A8" s="88"/>
      <c r="B8" s="60"/>
      <c r="C8" s="60"/>
      <c r="D8" s="60"/>
      <c r="E8" s="92"/>
      <c r="F8" s="92"/>
      <c r="G8" s="92"/>
      <c r="H8" s="92"/>
      <c r="I8" s="92"/>
      <c r="J8" s="92"/>
      <c r="K8" s="92"/>
      <c r="L8" s="92"/>
      <c r="M8" s="92"/>
      <c r="N8" s="61"/>
      <c r="O8" s="159"/>
      <c r="P8" s="159"/>
      <c r="Q8" s="159"/>
      <c r="R8" s="159"/>
      <c r="S8" s="159"/>
    </row>
    <row r="9" spans="1:29" ht="15.75" customHeight="1">
      <c r="A9" s="93" t="s">
        <v>388</v>
      </c>
      <c r="B9" s="62" t="s">
        <v>350</v>
      </c>
      <c r="C9" s="62" t="s">
        <v>351</v>
      </c>
      <c r="D9" s="62" t="s">
        <v>352</v>
      </c>
      <c r="E9" s="63" t="s">
        <v>353</v>
      </c>
      <c r="F9" s="63" t="s">
        <v>389</v>
      </c>
      <c r="G9" s="63" t="s">
        <v>389</v>
      </c>
      <c r="H9" s="63" t="s">
        <v>389</v>
      </c>
      <c r="I9" s="63" t="s">
        <v>389</v>
      </c>
      <c r="J9" s="63" t="s">
        <v>389</v>
      </c>
      <c r="K9" s="63" t="s">
        <v>389</v>
      </c>
      <c r="L9" s="63" t="s">
        <v>389</v>
      </c>
      <c r="M9" s="63" t="s">
        <v>389</v>
      </c>
      <c r="N9" s="63" t="s">
        <v>390</v>
      </c>
      <c r="O9" s="166" t="s">
        <v>391</v>
      </c>
      <c r="P9" s="150"/>
      <c r="Q9" s="150"/>
      <c r="R9" s="150"/>
      <c r="S9" s="155"/>
      <c r="T9" s="64" t="s">
        <v>354</v>
      </c>
      <c r="U9" s="65" t="s">
        <v>355</v>
      </c>
      <c r="V9" s="65" t="s">
        <v>356</v>
      </c>
      <c r="W9" s="65" t="s">
        <v>358</v>
      </c>
      <c r="X9" s="65" t="s">
        <v>359</v>
      </c>
    </row>
    <row r="10" spans="1:29" ht="15.75" customHeight="1">
      <c r="A10" s="94" t="s">
        <v>388</v>
      </c>
      <c r="B10" s="167" t="s">
        <v>392</v>
      </c>
      <c r="C10" s="150"/>
      <c r="D10" s="150"/>
      <c r="E10" s="150"/>
      <c r="F10" s="95" t="s">
        <v>393</v>
      </c>
      <c r="G10" s="95" t="s">
        <v>393</v>
      </c>
      <c r="H10" s="95" t="s">
        <v>393</v>
      </c>
      <c r="I10" s="95" t="s">
        <v>393</v>
      </c>
      <c r="J10" s="95" t="s">
        <v>393</v>
      </c>
      <c r="K10" s="95" t="s">
        <v>393</v>
      </c>
      <c r="L10" s="95" t="s">
        <v>393</v>
      </c>
      <c r="M10" s="95" t="s">
        <v>393</v>
      </c>
      <c r="N10" s="96"/>
      <c r="O10" s="96"/>
      <c r="P10" s="96"/>
      <c r="Q10" s="96"/>
      <c r="R10" s="96"/>
      <c r="S10" s="96"/>
      <c r="T10" s="66"/>
      <c r="U10" s="66"/>
      <c r="V10" s="66"/>
      <c r="W10" s="67"/>
      <c r="X10" s="67"/>
      <c r="Y10" s="80"/>
      <c r="Z10" s="80"/>
      <c r="AA10" s="80"/>
      <c r="AB10" s="80"/>
      <c r="AC10" s="80"/>
    </row>
    <row r="11" spans="1:29" ht="409.5">
      <c r="A11" s="94" t="s">
        <v>394</v>
      </c>
      <c r="B11" s="168" t="s">
        <v>395</v>
      </c>
      <c r="C11" s="75" t="s">
        <v>396</v>
      </c>
      <c r="D11" s="75" t="s">
        <v>397</v>
      </c>
      <c r="E11" s="75" t="s">
        <v>398</v>
      </c>
      <c r="F11" s="97"/>
      <c r="G11" s="97"/>
      <c r="H11" s="97"/>
      <c r="I11" s="97"/>
      <c r="J11" s="97"/>
      <c r="K11" s="97"/>
      <c r="L11" s="97"/>
      <c r="M11" s="98"/>
      <c r="N11" s="97"/>
      <c r="O11" s="165"/>
      <c r="P11" s="150"/>
      <c r="Q11" s="150"/>
      <c r="R11" s="150"/>
      <c r="S11" s="155"/>
    </row>
    <row r="12" spans="1:29" ht="409.5" customHeight="1">
      <c r="A12" s="94"/>
      <c r="B12" s="152"/>
      <c r="C12" s="75" t="s">
        <v>399</v>
      </c>
      <c r="D12" s="75" t="s">
        <v>400</v>
      </c>
      <c r="E12" s="75" t="s">
        <v>401</v>
      </c>
      <c r="F12" s="97" t="s">
        <v>12</v>
      </c>
      <c r="G12" s="97" t="s">
        <v>12</v>
      </c>
      <c r="H12" s="97" t="s">
        <v>12</v>
      </c>
      <c r="I12" s="97" t="s">
        <v>12</v>
      </c>
      <c r="J12" s="97" t="s">
        <v>12</v>
      </c>
      <c r="K12" s="97" t="s">
        <v>12</v>
      </c>
      <c r="L12" s="97" t="s">
        <v>12</v>
      </c>
      <c r="M12" s="98"/>
      <c r="N12" s="97" t="s">
        <v>402</v>
      </c>
      <c r="O12" s="165" t="s">
        <v>403</v>
      </c>
      <c r="P12" s="150"/>
      <c r="Q12" s="150"/>
      <c r="R12" s="150"/>
      <c r="S12" s="155"/>
      <c r="T12" s="76" t="s">
        <v>404</v>
      </c>
      <c r="U12" s="71" t="s">
        <v>361</v>
      </c>
      <c r="V12" s="71" t="s">
        <v>362</v>
      </c>
      <c r="W12" s="72"/>
      <c r="X12" s="72"/>
      <c r="Y12" s="80"/>
      <c r="Z12" s="80"/>
      <c r="AA12" s="80"/>
      <c r="AB12" s="80"/>
      <c r="AC12" s="80"/>
    </row>
    <row r="13" spans="1:29" ht="409.5" customHeight="1">
      <c r="A13" s="94" t="s">
        <v>394</v>
      </c>
      <c r="B13" s="152"/>
      <c r="C13" s="75" t="s">
        <v>405</v>
      </c>
      <c r="D13" s="75" t="s">
        <v>406</v>
      </c>
      <c r="E13" s="75" t="s">
        <v>407</v>
      </c>
      <c r="F13" s="97" t="s">
        <v>12</v>
      </c>
      <c r="G13" s="97" t="s">
        <v>12</v>
      </c>
      <c r="H13" s="97" t="s">
        <v>12</v>
      </c>
      <c r="I13" s="97" t="s">
        <v>12</v>
      </c>
      <c r="J13" s="97" t="s">
        <v>12</v>
      </c>
      <c r="K13" s="97" t="s">
        <v>12</v>
      </c>
      <c r="L13" s="97" t="s">
        <v>12</v>
      </c>
      <c r="M13" s="98"/>
      <c r="N13" s="97"/>
      <c r="O13" s="165" t="s">
        <v>408</v>
      </c>
      <c r="P13" s="150"/>
      <c r="Q13" s="150"/>
      <c r="R13" s="150"/>
      <c r="S13" s="155"/>
      <c r="T13" s="76" t="s">
        <v>409</v>
      </c>
      <c r="U13" s="71" t="s">
        <v>361</v>
      </c>
      <c r="V13" s="71" t="s">
        <v>362</v>
      </c>
      <c r="W13" s="72"/>
      <c r="X13" s="72"/>
      <c r="Y13" s="80"/>
      <c r="Z13" s="80"/>
      <c r="AA13" s="80"/>
      <c r="AB13" s="80"/>
      <c r="AC13" s="80"/>
    </row>
    <row r="14" spans="1:29" ht="409.5" customHeight="1">
      <c r="A14" s="94" t="s">
        <v>394</v>
      </c>
      <c r="B14" s="152"/>
      <c r="C14" s="75" t="s">
        <v>410</v>
      </c>
      <c r="D14" s="75" t="s">
        <v>411</v>
      </c>
      <c r="E14" s="75" t="s">
        <v>412</v>
      </c>
      <c r="F14" s="97" t="s">
        <v>12</v>
      </c>
      <c r="G14" s="97" t="s">
        <v>12</v>
      </c>
      <c r="H14" s="97" t="s">
        <v>12</v>
      </c>
      <c r="I14" s="97" t="s">
        <v>12</v>
      </c>
      <c r="J14" s="97" t="s">
        <v>12</v>
      </c>
      <c r="K14" s="97" t="s">
        <v>12</v>
      </c>
      <c r="L14" s="97" t="s">
        <v>12</v>
      </c>
      <c r="M14" s="97" t="s">
        <v>386</v>
      </c>
      <c r="N14" s="97" t="s">
        <v>413</v>
      </c>
      <c r="O14" s="157" t="s">
        <v>414</v>
      </c>
      <c r="P14" s="150"/>
      <c r="Q14" s="150"/>
      <c r="R14" s="150"/>
      <c r="S14" s="155"/>
      <c r="T14" s="76" t="s">
        <v>415</v>
      </c>
      <c r="U14" s="71" t="s">
        <v>361</v>
      </c>
      <c r="V14" s="71" t="s">
        <v>362</v>
      </c>
      <c r="W14" s="72"/>
      <c r="X14" s="72"/>
      <c r="Y14" s="80"/>
      <c r="Z14" s="80"/>
      <c r="AA14" s="80"/>
      <c r="AB14" s="80"/>
      <c r="AC14" s="80"/>
    </row>
    <row r="15" spans="1:29" ht="409.5" customHeight="1">
      <c r="A15" s="94" t="s">
        <v>394</v>
      </c>
      <c r="B15" s="152"/>
      <c r="C15" s="75" t="s">
        <v>416</v>
      </c>
      <c r="D15" s="75" t="s">
        <v>417</v>
      </c>
      <c r="E15" s="99" t="s">
        <v>418</v>
      </c>
      <c r="F15" s="97" t="s">
        <v>12</v>
      </c>
      <c r="G15" s="97" t="s">
        <v>12</v>
      </c>
      <c r="H15" s="97" t="s">
        <v>12</v>
      </c>
      <c r="I15" s="97" t="s">
        <v>12</v>
      </c>
      <c r="J15" s="97" t="s">
        <v>12</v>
      </c>
      <c r="K15" s="97" t="s">
        <v>12</v>
      </c>
      <c r="L15" s="97" t="s">
        <v>12</v>
      </c>
      <c r="M15" s="97"/>
      <c r="N15" s="97"/>
      <c r="O15" s="157" t="s">
        <v>419</v>
      </c>
      <c r="P15" s="150"/>
      <c r="Q15" s="150"/>
      <c r="R15" s="150"/>
      <c r="S15" s="155"/>
      <c r="T15" s="76"/>
      <c r="U15" s="71" t="s">
        <v>420</v>
      </c>
      <c r="V15" s="71" t="s">
        <v>362</v>
      </c>
      <c r="W15" s="72"/>
      <c r="X15" s="72"/>
      <c r="Y15" s="80"/>
      <c r="Z15" s="80"/>
      <c r="AA15" s="80"/>
      <c r="AB15" s="80"/>
      <c r="AC15" s="80"/>
    </row>
    <row r="16" spans="1:29" ht="409.5" customHeight="1">
      <c r="A16" s="94" t="s">
        <v>394</v>
      </c>
      <c r="B16" s="152"/>
      <c r="C16" s="75" t="s">
        <v>421</v>
      </c>
      <c r="D16" s="75" t="s">
        <v>422</v>
      </c>
      <c r="E16" s="99" t="s">
        <v>423</v>
      </c>
      <c r="F16" s="97" t="s">
        <v>12</v>
      </c>
      <c r="G16" s="97" t="s">
        <v>12</v>
      </c>
      <c r="H16" s="97" t="s">
        <v>12</v>
      </c>
      <c r="I16" s="97" t="s">
        <v>12</v>
      </c>
      <c r="J16" s="97" t="s">
        <v>12</v>
      </c>
      <c r="K16" s="97" t="s">
        <v>12</v>
      </c>
      <c r="L16" s="97" t="s">
        <v>12</v>
      </c>
      <c r="M16" s="97"/>
      <c r="N16" s="97" t="s">
        <v>424</v>
      </c>
      <c r="O16" s="157" t="s">
        <v>425</v>
      </c>
      <c r="P16" s="150"/>
      <c r="Q16" s="150"/>
      <c r="R16" s="150"/>
      <c r="S16" s="155"/>
      <c r="T16" s="76"/>
      <c r="U16" s="71" t="s">
        <v>420</v>
      </c>
      <c r="V16" s="71" t="s">
        <v>362</v>
      </c>
      <c r="W16" s="72"/>
      <c r="X16" s="72"/>
      <c r="Y16" s="80"/>
      <c r="Z16" s="80"/>
      <c r="AA16" s="80"/>
      <c r="AB16" s="80"/>
      <c r="AC16" s="80"/>
    </row>
    <row r="17" spans="1:29" ht="409.5" customHeight="1">
      <c r="A17" s="94" t="s">
        <v>394</v>
      </c>
      <c r="B17" s="152"/>
      <c r="C17" s="75" t="s">
        <v>426</v>
      </c>
      <c r="D17" s="75" t="s">
        <v>427</v>
      </c>
      <c r="E17" s="75" t="s">
        <v>428</v>
      </c>
      <c r="F17" s="97" t="s">
        <v>12</v>
      </c>
      <c r="G17" s="97" t="s">
        <v>12</v>
      </c>
      <c r="H17" s="97" t="s">
        <v>12</v>
      </c>
      <c r="I17" s="97" t="s">
        <v>12</v>
      </c>
      <c r="J17" s="97" t="s">
        <v>12</v>
      </c>
      <c r="K17" s="97" t="s">
        <v>12</v>
      </c>
      <c r="L17" s="97" t="s">
        <v>12</v>
      </c>
      <c r="M17" s="97"/>
      <c r="N17" s="97"/>
      <c r="O17" s="157" t="s">
        <v>429</v>
      </c>
      <c r="P17" s="150"/>
      <c r="Q17" s="150"/>
      <c r="R17" s="150"/>
      <c r="S17" s="155"/>
      <c r="T17" s="76"/>
      <c r="U17" s="71" t="s">
        <v>420</v>
      </c>
      <c r="V17" s="71" t="s">
        <v>362</v>
      </c>
      <c r="W17" s="72"/>
      <c r="X17" s="72"/>
      <c r="Y17" s="80"/>
      <c r="Z17" s="80"/>
      <c r="AA17" s="80"/>
      <c r="AB17" s="80"/>
      <c r="AC17" s="80"/>
    </row>
    <row r="18" spans="1:29" ht="409.5" customHeight="1">
      <c r="A18" s="94" t="s">
        <v>394</v>
      </c>
      <c r="B18" s="156"/>
      <c r="C18" s="75" t="s">
        <v>430</v>
      </c>
      <c r="D18" s="75" t="s">
        <v>431</v>
      </c>
      <c r="E18" s="75" t="s">
        <v>432</v>
      </c>
      <c r="F18" s="97" t="s">
        <v>12</v>
      </c>
      <c r="G18" s="97" t="s">
        <v>12</v>
      </c>
      <c r="H18" s="97" t="s">
        <v>12</v>
      </c>
      <c r="I18" s="97" t="s">
        <v>12</v>
      </c>
      <c r="J18" s="97" t="s">
        <v>12</v>
      </c>
      <c r="K18" s="97" t="s">
        <v>12</v>
      </c>
      <c r="L18" s="97" t="s">
        <v>12</v>
      </c>
      <c r="M18" s="97"/>
      <c r="N18" s="98"/>
      <c r="O18" s="157" t="s">
        <v>433</v>
      </c>
      <c r="P18" s="150"/>
      <c r="Q18" s="150"/>
      <c r="R18" s="150"/>
      <c r="S18" s="155"/>
      <c r="T18" s="76"/>
      <c r="U18" s="71" t="s">
        <v>420</v>
      </c>
      <c r="V18" s="71" t="s">
        <v>362</v>
      </c>
      <c r="W18" s="72"/>
      <c r="X18" s="72"/>
      <c r="Y18" s="80"/>
      <c r="Z18" s="80"/>
      <c r="AA18" s="80"/>
      <c r="AB18" s="80"/>
      <c r="AC18" s="80"/>
    </row>
    <row r="19" spans="1:29" ht="15.75" customHeight="1">
      <c r="A19" s="94" t="s">
        <v>388</v>
      </c>
      <c r="B19" s="160" t="s">
        <v>434</v>
      </c>
      <c r="C19" s="150"/>
      <c r="D19" s="150"/>
      <c r="E19" s="150"/>
      <c r="F19" s="100" t="s">
        <v>393</v>
      </c>
      <c r="G19" s="100" t="s">
        <v>393</v>
      </c>
      <c r="H19" s="100"/>
      <c r="I19" s="100" t="s">
        <v>393</v>
      </c>
      <c r="J19" s="100" t="s">
        <v>393</v>
      </c>
      <c r="K19" s="100" t="s">
        <v>393</v>
      </c>
      <c r="L19" s="100" t="s">
        <v>393</v>
      </c>
      <c r="M19" s="100" t="s">
        <v>393</v>
      </c>
      <c r="N19" s="101"/>
      <c r="O19" s="101"/>
      <c r="P19" s="101"/>
      <c r="Q19" s="101"/>
      <c r="R19" s="101"/>
      <c r="S19" s="101"/>
      <c r="T19" s="50"/>
      <c r="U19" s="50"/>
      <c r="V19" s="50"/>
      <c r="W19" s="50"/>
      <c r="X19" s="50"/>
      <c r="Y19" s="50"/>
      <c r="Z19" s="50"/>
      <c r="AA19" s="50"/>
      <c r="AB19" s="50"/>
      <c r="AC19" s="50"/>
    </row>
    <row r="20" spans="1:29" ht="120" customHeight="1">
      <c r="A20" s="79" t="s">
        <v>394</v>
      </c>
      <c r="B20" s="161" t="s">
        <v>55</v>
      </c>
      <c r="C20" s="75" t="s">
        <v>337</v>
      </c>
      <c r="D20" s="75" t="s">
        <v>435</v>
      </c>
      <c r="E20" s="75" t="s">
        <v>436</v>
      </c>
      <c r="F20" s="97" t="s">
        <v>386</v>
      </c>
      <c r="G20" s="97" t="s">
        <v>386</v>
      </c>
      <c r="H20" s="97" t="s">
        <v>386</v>
      </c>
      <c r="I20" s="97" t="s">
        <v>386</v>
      </c>
      <c r="J20" s="97" t="s">
        <v>386</v>
      </c>
      <c r="K20" s="97" t="s">
        <v>386</v>
      </c>
      <c r="L20" s="97" t="s">
        <v>386</v>
      </c>
      <c r="M20" s="98"/>
      <c r="N20" s="97" t="s">
        <v>437</v>
      </c>
      <c r="O20" s="162" t="s">
        <v>438</v>
      </c>
      <c r="P20" s="150"/>
      <c r="Q20" s="150"/>
      <c r="R20" s="150"/>
      <c r="S20" s="155"/>
      <c r="T20" s="70" t="s">
        <v>439</v>
      </c>
      <c r="U20" s="71" t="s">
        <v>361</v>
      </c>
      <c r="V20" s="71" t="s">
        <v>362</v>
      </c>
      <c r="W20" s="71"/>
      <c r="X20" s="71"/>
      <c r="Y20" s="80"/>
      <c r="Z20" s="80"/>
      <c r="AA20" s="80"/>
      <c r="AB20" s="80"/>
      <c r="AC20" s="80"/>
    </row>
    <row r="21" spans="1:29" ht="195.85" customHeight="1">
      <c r="A21" s="79" t="s">
        <v>394</v>
      </c>
      <c r="B21" s="152"/>
      <c r="C21" s="69" t="s">
        <v>440</v>
      </c>
      <c r="D21" s="69" t="s">
        <v>441</v>
      </c>
      <c r="E21" s="69" t="s">
        <v>442</v>
      </c>
      <c r="F21" s="97" t="s">
        <v>10</v>
      </c>
      <c r="G21" s="97" t="s">
        <v>10</v>
      </c>
      <c r="H21" s="97" t="s">
        <v>10</v>
      </c>
      <c r="I21" s="97" t="s">
        <v>10</v>
      </c>
      <c r="J21" s="97" t="s">
        <v>10</v>
      </c>
      <c r="K21" s="97" t="s">
        <v>10</v>
      </c>
      <c r="L21" s="97" t="s">
        <v>10</v>
      </c>
      <c r="M21" s="98"/>
      <c r="N21" s="97"/>
      <c r="O21" s="163"/>
      <c r="P21" s="150"/>
      <c r="Q21" s="150"/>
      <c r="R21" s="150"/>
      <c r="S21" s="155"/>
      <c r="T21" s="70" t="s">
        <v>443</v>
      </c>
      <c r="U21" s="71" t="s">
        <v>361</v>
      </c>
      <c r="V21" s="71" t="s">
        <v>362</v>
      </c>
      <c r="W21" s="71"/>
      <c r="X21" s="71"/>
      <c r="Y21" s="80"/>
      <c r="Z21" s="80"/>
      <c r="AA21" s="80"/>
      <c r="AB21" s="80"/>
      <c r="AC21" s="80"/>
    </row>
    <row r="22" spans="1:29" ht="195.85" customHeight="1">
      <c r="A22" s="79"/>
      <c r="B22" s="152"/>
      <c r="C22" s="77" t="s">
        <v>182</v>
      </c>
      <c r="D22" s="77" t="s">
        <v>444</v>
      </c>
      <c r="E22" s="69" t="s">
        <v>445</v>
      </c>
      <c r="F22" s="97" t="s">
        <v>10</v>
      </c>
      <c r="G22" s="97" t="s">
        <v>10</v>
      </c>
      <c r="H22" s="97" t="s">
        <v>10</v>
      </c>
      <c r="I22" s="97" t="s">
        <v>10</v>
      </c>
      <c r="J22" s="97" t="s">
        <v>10</v>
      </c>
      <c r="K22" s="97" t="s">
        <v>10</v>
      </c>
      <c r="L22" s="97" t="s">
        <v>10</v>
      </c>
      <c r="M22" s="98"/>
      <c r="N22" s="97" t="s">
        <v>446</v>
      </c>
      <c r="O22" s="162" t="s">
        <v>447</v>
      </c>
      <c r="P22" s="150"/>
      <c r="Q22" s="150"/>
      <c r="R22" s="150"/>
      <c r="S22" s="155"/>
      <c r="T22" s="72"/>
      <c r="U22" s="71"/>
      <c r="V22" s="71"/>
      <c r="W22" s="71"/>
      <c r="X22" s="71"/>
      <c r="Y22" s="80"/>
      <c r="Z22" s="80"/>
      <c r="AA22" s="80"/>
      <c r="AB22" s="80"/>
      <c r="AC22" s="80"/>
    </row>
    <row r="23" spans="1:29" ht="195.85" customHeight="1">
      <c r="A23" s="79" t="s">
        <v>394</v>
      </c>
      <c r="B23" s="152"/>
      <c r="C23" s="77" t="s">
        <v>448</v>
      </c>
      <c r="D23" s="73" t="s">
        <v>449</v>
      </c>
      <c r="E23" s="75" t="s">
        <v>450</v>
      </c>
      <c r="F23" s="97" t="s">
        <v>10</v>
      </c>
      <c r="G23" s="97" t="s">
        <v>10</v>
      </c>
      <c r="H23" s="97" t="s">
        <v>10</v>
      </c>
      <c r="I23" s="97" t="s">
        <v>10</v>
      </c>
      <c r="J23" s="97" t="s">
        <v>10</v>
      </c>
      <c r="K23" s="97" t="s">
        <v>10</v>
      </c>
      <c r="L23" s="97" t="s">
        <v>10</v>
      </c>
      <c r="M23" s="98"/>
      <c r="N23" s="97"/>
      <c r="O23" s="163"/>
      <c r="P23" s="150"/>
      <c r="Q23" s="150"/>
      <c r="R23" s="150"/>
      <c r="S23" s="155"/>
      <c r="T23" s="72"/>
      <c r="U23" s="71" t="s">
        <v>363</v>
      </c>
      <c r="V23" s="71" t="s">
        <v>362</v>
      </c>
      <c r="W23" s="71" t="s">
        <v>451</v>
      </c>
      <c r="X23" s="71"/>
      <c r="Y23" s="80"/>
      <c r="Z23" s="80"/>
      <c r="AA23" s="80"/>
      <c r="AB23" s="80"/>
      <c r="AC23" s="80"/>
    </row>
    <row r="24" spans="1:29" ht="195.85" customHeight="1">
      <c r="A24" s="79" t="s">
        <v>394</v>
      </c>
      <c r="B24" s="152"/>
      <c r="C24" s="77" t="s">
        <v>452</v>
      </c>
      <c r="D24" s="73" t="s">
        <v>453</v>
      </c>
      <c r="E24" s="75" t="s">
        <v>454</v>
      </c>
      <c r="F24" s="97" t="s">
        <v>10</v>
      </c>
      <c r="G24" s="97" t="s">
        <v>10</v>
      </c>
      <c r="H24" s="97" t="s">
        <v>10</v>
      </c>
      <c r="I24" s="97" t="s">
        <v>10</v>
      </c>
      <c r="J24" s="97" t="s">
        <v>10</v>
      </c>
      <c r="K24" s="97" t="s">
        <v>10</v>
      </c>
      <c r="L24" s="97" t="s">
        <v>10</v>
      </c>
      <c r="M24" s="98"/>
      <c r="N24" s="97" t="s">
        <v>455</v>
      </c>
      <c r="O24" s="157" t="s">
        <v>456</v>
      </c>
      <c r="P24" s="150"/>
      <c r="Q24" s="150"/>
      <c r="R24" s="150"/>
      <c r="S24" s="155"/>
      <c r="T24" s="72"/>
      <c r="U24" s="71" t="s">
        <v>363</v>
      </c>
      <c r="V24" s="71" t="s">
        <v>362</v>
      </c>
      <c r="W24" s="71"/>
      <c r="X24" s="71"/>
      <c r="Y24" s="80"/>
      <c r="Z24" s="80"/>
      <c r="AA24" s="80"/>
      <c r="AB24" s="80"/>
      <c r="AC24" s="80"/>
    </row>
    <row r="25" spans="1:29" ht="224.25" customHeight="1">
      <c r="A25" s="79" t="s">
        <v>394</v>
      </c>
      <c r="B25" s="152"/>
      <c r="C25" s="77" t="s">
        <v>233</v>
      </c>
      <c r="D25" s="77" t="s">
        <v>457</v>
      </c>
      <c r="E25" s="69" t="s">
        <v>458</v>
      </c>
      <c r="F25" s="97" t="s">
        <v>10</v>
      </c>
      <c r="G25" s="97" t="s">
        <v>10</v>
      </c>
      <c r="H25" s="97" t="s">
        <v>10</v>
      </c>
      <c r="I25" s="97" t="s">
        <v>10</v>
      </c>
      <c r="J25" s="97" t="s">
        <v>10</v>
      </c>
      <c r="K25" s="97" t="s">
        <v>10</v>
      </c>
      <c r="L25" s="97" t="s">
        <v>10</v>
      </c>
      <c r="M25" s="98"/>
      <c r="N25" s="97"/>
      <c r="O25" s="157" t="s">
        <v>446</v>
      </c>
      <c r="P25" s="150"/>
      <c r="Q25" s="150"/>
      <c r="R25" s="150"/>
      <c r="S25" s="155"/>
      <c r="T25" s="70" t="s">
        <v>459</v>
      </c>
      <c r="U25" s="71" t="s">
        <v>361</v>
      </c>
      <c r="V25" s="71" t="s">
        <v>362</v>
      </c>
      <c r="W25" s="71"/>
      <c r="X25" s="71"/>
      <c r="Y25" s="80"/>
      <c r="Z25" s="80"/>
      <c r="AA25" s="80"/>
      <c r="AB25" s="80"/>
      <c r="AC25" s="80"/>
    </row>
    <row r="26" spans="1:29" ht="201" customHeight="1">
      <c r="A26" s="79" t="s">
        <v>394</v>
      </c>
      <c r="B26" s="152"/>
      <c r="C26" s="77" t="s">
        <v>234</v>
      </c>
      <c r="D26" s="77" t="s">
        <v>460</v>
      </c>
      <c r="E26" s="69" t="s">
        <v>461</v>
      </c>
      <c r="F26" s="97" t="s">
        <v>10</v>
      </c>
      <c r="G26" s="97" t="s">
        <v>10</v>
      </c>
      <c r="H26" s="97" t="s">
        <v>10</v>
      </c>
      <c r="I26" s="97" t="s">
        <v>10</v>
      </c>
      <c r="J26" s="97" t="s">
        <v>10</v>
      </c>
      <c r="K26" s="97" t="s">
        <v>10</v>
      </c>
      <c r="L26" s="97" t="s">
        <v>10</v>
      </c>
      <c r="M26" s="98"/>
      <c r="N26" s="97"/>
      <c r="O26" s="162" t="s">
        <v>447</v>
      </c>
      <c r="P26" s="150"/>
      <c r="Q26" s="150"/>
      <c r="R26" s="150"/>
      <c r="S26" s="155"/>
      <c r="T26" s="70" t="s">
        <v>462</v>
      </c>
      <c r="U26" s="71" t="s">
        <v>361</v>
      </c>
      <c r="V26" s="71" t="s">
        <v>362</v>
      </c>
      <c r="W26" s="71"/>
      <c r="X26" s="71"/>
      <c r="Y26" s="80"/>
      <c r="Z26" s="80"/>
      <c r="AA26" s="80"/>
      <c r="AB26" s="80"/>
      <c r="AC26" s="80"/>
    </row>
    <row r="27" spans="1:29" ht="180" customHeight="1">
      <c r="A27" s="79" t="s">
        <v>394</v>
      </c>
      <c r="B27" s="152"/>
      <c r="C27" s="77" t="s">
        <v>340</v>
      </c>
      <c r="D27" s="77" t="s">
        <v>463</v>
      </c>
      <c r="E27" s="69" t="s">
        <v>464</v>
      </c>
      <c r="F27" s="97" t="s">
        <v>10</v>
      </c>
      <c r="G27" s="97" t="s">
        <v>10</v>
      </c>
      <c r="H27" s="97" t="s">
        <v>10</v>
      </c>
      <c r="I27" s="97" t="s">
        <v>10</v>
      </c>
      <c r="J27" s="97" t="s">
        <v>10</v>
      </c>
      <c r="K27" s="97" t="s">
        <v>10</v>
      </c>
      <c r="L27" s="97" t="s">
        <v>10</v>
      </c>
      <c r="M27" s="98"/>
      <c r="N27" s="97"/>
      <c r="O27" s="157" t="s">
        <v>447</v>
      </c>
      <c r="P27" s="150"/>
      <c r="Q27" s="150"/>
      <c r="R27" s="150"/>
      <c r="S27" s="155"/>
      <c r="T27" s="70" t="s">
        <v>340</v>
      </c>
      <c r="U27" s="71" t="s">
        <v>361</v>
      </c>
      <c r="V27" s="71" t="s">
        <v>362</v>
      </c>
      <c r="W27" s="71"/>
      <c r="X27" s="71"/>
      <c r="Y27" s="80"/>
      <c r="Z27" s="80"/>
      <c r="AA27" s="80"/>
      <c r="AB27" s="80"/>
      <c r="AC27" s="80"/>
    </row>
    <row r="28" spans="1:29" ht="120" customHeight="1">
      <c r="A28" s="79" t="s">
        <v>394</v>
      </c>
      <c r="B28" s="152"/>
      <c r="C28" s="77" t="s">
        <v>183</v>
      </c>
      <c r="D28" s="77" t="s">
        <v>465</v>
      </c>
      <c r="E28" s="69" t="s">
        <v>466</v>
      </c>
      <c r="F28" s="97" t="s">
        <v>10</v>
      </c>
      <c r="G28" s="97" t="s">
        <v>10</v>
      </c>
      <c r="H28" s="97" t="s">
        <v>10</v>
      </c>
      <c r="I28" s="97" t="s">
        <v>10</v>
      </c>
      <c r="J28" s="97" t="s">
        <v>10</v>
      </c>
      <c r="K28" s="97" t="s">
        <v>10</v>
      </c>
      <c r="L28" s="97" t="s">
        <v>10</v>
      </c>
      <c r="M28" s="98"/>
      <c r="N28" s="97" t="s">
        <v>467</v>
      </c>
      <c r="O28" s="157" t="s">
        <v>468</v>
      </c>
      <c r="P28" s="150"/>
      <c r="Q28" s="150"/>
      <c r="R28" s="150"/>
      <c r="S28" s="155"/>
      <c r="T28" s="72"/>
      <c r="U28" s="71" t="s">
        <v>363</v>
      </c>
      <c r="V28" s="71" t="s">
        <v>362</v>
      </c>
      <c r="W28" s="71"/>
      <c r="X28" s="71"/>
      <c r="Y28" s="80"/>
      <c r="Z28" s="80"/>
      <c r="AA28" s="80"/>
      <c r="AB28" s="80"/>
      <c r="AC28" s="80"/>
    </row>
    <row r="29" spans="1:29" ht="120" customHeight="1">
      <c r="A29" s="79" t="s">
        <v>394</v>
      </c>
      <c r="B29" s="152"/>
      <c r="C29" s="69" t="s">
        <v>469</v>
      </c>
      <c r="D29" s="69" t="s">
        <v>470</v>
      </c>
      <c r="E29" s="69" t="s">
        <v>471</v>
      </c>
      <c r="F29" s="97" t="s">
        <v>386</v>
      </c>
      <c r="G29" s="97" t="s">
        <v>10</v>
      </c>
      <c r="H29" s="97" t="s">
        <v>10</v>
      </c>
      <c r="I29" s="97" t="s">
        <v>10</v>
      </c>
      <c r="J29" s="97" t="s">
        <v>10</v>
      </c>
      <c r="K29" s="97" t="s">
        <v>10</v>
      </c>
      <c r="L29" s="97" t="s">
        <v>10</v>
      </c>
      <c r="M29" s="98"/>
      <c r="N29" s="97" t="s">
        <v>472</v>
      </c>
      <c r="O29" s="157" t="s">
        <v>473</v>
      </c>
      <c r="P29" s="150"/>
      <c r="Q29" s="150"/>
      <c r="R29" s="150"/>
      <c r="S29" s="155"/>
      <c r="T29" s="70" t="s">
        <v>474</v>
      </c>
      <c r="U29" s="71" t="s">
        <v>363</v>
      </c>
      <c r="V29" s="71" t="s">
        <v>362</v>
      </c>
      <c r="W29" s="71"/>
      <c r="X29" s="71"/>
      <c r="Y29" s="80"/>
      <c r="Z29" s="80"/>
      <c r="AA29" s="80"/>
      <c r="AB29" s="80"/>
      <c r="AC29" s="80"/>
    </row>
    <row r="30" spans="1:29" ht="239.25" customHeight="1">
      <c r="A30" s="79" t="s">
        <v>394</v>
      </c>
      <c r="B30" s="161" t="s">
        <v>65</v>
      </c>
      <c r="C30" s="75" t="s">
        <v>272</v>
      </c>
      <c r="D30" s="75" t="s">
        <v>475</v>
      </c>
      <c r="E30" s="99" t="s">
        <v>476</v>
      </c>
      <c r="F30" s="97" t="s">
        <v>386</v>
      </c>
      <c r="G30" s="97" t="s">
        <v>386</v>
      </c>
      <c r="H30" s="97" t="s">
        <v>386</v>
      </c>
      <c r="I30" s="97" t="s">
        <v>386</v>
      </c>
      <c r="J30" s="97" t="s">
        <v>386</v>
      </c>
      <c r="K30" s="97" t="s">
        <v>386</v>
      </c>
      <c r="L30" s="97" t="s">
        <v>386</v>
      </c>
      <c r="M30" s="98"/>
      <c r="N30" s="97" t="s">
        <v>437</v>
      </c>
      <c r="O30" s="157" t="s">
        <v>477</v>
      </c>
      <c r="P30" s="150"/>
      <c r="Q30" s="150"/>
      <c r="R30" s="150"/>
      <c r="S30" s="155"/>
      <c r="T30" s="70" t="s">
        <v>273</v>
      </c>
      <c r="U30" s="71" t="s">
        <v>118</v>
      </c>
      <c r="V30" s="71" t="s">
        <v>360</v>
      </c>
      <c r="W30" s="71"/>
      <c r="X30" s="71"/>
      <c r="Y30" s="80"/>
      <c r="Z30" s="80"/>
      <c r="AA30" s="80"/>
      <c r="AB30" s="80"/>
      <c r="AC30" s="80"/>
    </row>
    <row r="31" spans="1:29" ht="209.25" customHeight="1">
      <c r="A31" s="79" t="s">
        <v>394</v>
      </c>
      <c r="B31" s="152"/>
      <c r="C31" s="77" t="s">
        <v>448</v>
      </c>
      <c r="D31" s="77" t="s">
        <v>478</v>
      </c>
      <c r="E31" s="69" t="s">
        <v>479</v>
      </c>
      <c r="F31" s="97" t="s">
        <v>10</v>
      </c>
      <c r="G31" s="97" t="s">
        <v>10</v>
      </c>
      <c r="H31" s="97" t="s">
        <v>10</v>
      </c>
      <c r="I31" s="97" t="s">
        <v>10</v>
      </c>
      <c r="J31" s="97" t="s">
        <v>10</v>
      </c>
      <c r="K31" s="97" t="s">
        <v>10</v>
      </c>
      <c r="L31" s="97" t="s">
        <v>10</v>
      </c>
      <c r="M31" s="98"/>
      <c r="N31" s="97"/>
      <c r="O31" s="157"/>
      <c r="P31" s="150"/>
      <c r="Q31" s="150"/>
      <c r="R31" s="150"/>
      <c r="S31" s="155"/>
      <c r="T31" s="70" t="s">
        <v>480</v>
      </c>
      <c r="U31" s="71" t="s">
        <v>361</v>
      </c>
      <c r="V31" s="71" t="s">
        <v>362</v>
      </c>
      <c r="W31" s="71"/>
      <c r="X31" s="71"/>
      <c r="Y31" s="80"/>
      <c r="Z31" s="80"/>
      <c r="AA31" s="80"/>
      <c r="AB31" s="80"/>
      <c r="AC31" s="80"/>
    </row>
    <row r="32" spans="1:29" ht="206.25" customHeight="1">
      <c r="A32" s="79" t="s">
        <v>394</v>
      </c>
      <c r="B32" s="152"/>
      <c r="C32" s="77" t="s">
        <v>452</v>
      </c>
      <c r="D32" s="77" t="s">
        <v>481</v>
      </c>
      <c r="E32" s="102" t="s">
        <v>482</v>
      </c>
      <c r="F32" s="97" t="s">
        <v>10</v>
      </c>
      <c r="G32" s="97" t="s">
        <v>10</v>
      </c>
      <c r="H32" s="97" t="s">
        <v>10</v>
      </c>
      <c r="I32" s="97" t="s">
        <v>10</v>
      </c>
      <c r="J32" s="97" t="s">
        <v>10</v>
      </c>
      <c r="K32" s="97" t="s">
        <v>10</v>
      </c>
      <c r="L32" s="97" t="s">
        <v>10</v>
      </c>
      <c r="M32" s="98"/>
      <c r="N32" s="97" t="s">
        <v>455</v>
      </c>
      <c r="O32" s="157" t="s">
        <v>483</v>
      </c>
      <c r="P32" s="150"/>
      <c r="Q32" s="150"/>
      <c r="R32" s="150"/>
      <c r="S32" s="155"/>
      <c r="T32" s="72"/>
      <c r="U32" s="71" t="s">
        <v>363</v>
      </c>
      <c r="V32" s="71" t="s">
        <v>362</v>
      </c>
      <c r="W32" s="71"/>
      <c r="X32" s="71"/>
      <c r="Y32" s="80"/>
      <c r="Z32" s="80"/>
      <c r="AA32" s="80"/>
      <c r="AB32" s="80"/>
      <c r="AC32" s="80"/>
    </row>
    <row r="33" spans="1:29" ht="120" customHeight="1">
      <c r="A33" s="79"/>
      <c r="B33" s="152"/>
      <c r="C33" s="69" t="s">
        <v>343</v>
      </c>
      <c r="D33" s="69" t="s">
        <v>484</v>
      </c>
      <c r="E33" s="69" t="s">
        <v>485</v>
      </c>
      <c r="F33" s="97" t="s">
        <v>10</v>
      </c>
      <c r="G33" s="97" t="s">
        <v>10</v>
      </c>
      <c r="H33" s="97" t="s">
        <v>10</v>
      </c>
      <c r="I33" s="97" t="s">
        <v>10</v>
      </c>
      <c r="J33" s="97" t="s">
        <v>10</v>
      </c>
      <c r="K33" s="97" t="s">
        <v>10</v>
      </c>
      <c r="L33" s="97" t="s">
        <v>10</v>
      </c>
      <c r="M33" s="98"/>
      <c r="N33" s="97"/>
      <c r="O33" s="162"/>
      <c r="P33" s="150"/>
      <c r="Q33" s="150"/>
      <c r="R33" s="150"/>
      <c r="S33" s="155"/>
      <c r="T33" s="72"/>
      <c r="U33" s="71"/>
      <c r="V33" s="71"/>
      <c r="W33" s="71"/>
      <c r="X33" s="71"/>
      <c r="Y33" s="80"/>
      <c r="Z33" s="80"/>
      <c r="AA33" s="80"/>
      <c r="AB33" s="80"/>
      <c r="AC33" s="80"/>
    </row>
    <row r="34" spans="1:29" ht="150.75" customHeight="1">
      <c r="A34" s="79" t="s">
        <v>394</v>
      </c>
      <c r="B34" s="152"/>
      <c r="C34" s="69" t="s">
        <v>235</v>
      </c>
      <c r="D34" s="69" t="s">
        <v>486</v>
      </c>
      <c r="E34" s="69" t="s">
        <v>487</v>
      </c>
      <c r="F34" s="97" t="s">
        <v>10</v>
      </c>
      <c r="G34" s="97" t="s">
        <v>10</v>
      </c>
      <c r="H34" s="97" t="s">
        <v>10</v>
      </c>
      <c r="I34" s="97" t="s">
        <v>10</v>
      </c>
      <c r="J34" s="97" t="s">
        <v>10</v>
      </c>
      <c r="K34" s="97" t="s">
        <v>10</v>
      </c>
      <c r="L34" s="97" t="s">
        <v>10</v>
      </c>
      <c r="M34" s="98"/>
      <c r="N34" s="97"/>
      <c r="O34" s="162" t="s">
        <v>446</v>
      </c>
      <c r="P34" s="150"/>
      <c r="Q34" s="150"/>
      <c r="R34" s="150"/>
      <c r="S34" s="155"/>
      <c r="T34" s="72"/>
      <c r="U34" s="71" t="s">
        <v>363</v>
      </c>
      <c r="V34" s="71" t="s">
        <v>362</v>
      </c>
      <c r="W34" s="71"/>
      <c r="X34" s="71"/>
      <c r="Y34" s="80"/>
      <c r="Z34" s="80"/>
      <c r="AA34" s="80"/>
      <c r="AB34" s="80"/>
      <c r="AC34" s="80"/>
    </row>
    <row r="35" spans="1:29" ht="237" customHeight="1">
      <c r="A35" s="79" t="s">
        <v>394</v>
      </c>
      <c r="B35" s="152"/>
      <c r="C35" s="77" t="s">
        <v>233</v>
      </c>
      <c r="D35" s="77" t="s">
        <v>457</v>
      </c>
      <c r="E35" s="69" t="s">
        <v>488</v>
      </c>
      <c r="F35" s="97" t="s">
        <v>10</v>
      </c>
      <c r="G35" s="97" t="s">
        <v>10</v>
      </c>
      <c r="H35" s="97" t="s">
        <v>10</v>
      </c>
      <c r="I35" s="97" t="s">
        <v>10</v>
      </c>
      <c r="J35" s="97" t="s">
        <v>10</v>
      </c>
      <c r="K35" s="97" t="s">
        <v>10</v>
      </c>
      <c r="L35" s="97" t="s">
        <v>10</v>
      </c>
      <c r="M35" s="98"/>
      <c r="N35" s="97"/>
      <c r="O35" s="162" t="s">
        <v>446</v>
      </c>
      <c r="P35" s="150"/>
      <c r="Q35" s="150"/>
      <c r="R35" s="150"/>
      <c r="S35" s="155"/>
      <c r="T35" s="72"/>
      <c r="U35" s="71" t="s">
        <v>363</v>
      </c>
      <c r="V35" s="71" t="s">
        <v>362</v>
      </c>
      <c r="W35" s="71" t="s">
        <v>489</v>
      </c>
      <c r="X35" s="71"/>
      <c r="Y35" s="80"/>
      <c r="Z35" s="80"/>
      <c r="AA35" s="80"/>
      <c r="AB35" s="80"/>
      <c r="AC35" s="80"/>
    </row>
    <row r="36" spans="1:29" ht="189.75" customHeight="1">
      <c r="A36" s="79"/>
      <c r="B36" s="152"/>
      <c r="C36" s="77" t="s">
        <v>182</v>
      </c>
      <c r="D36" s="77" t="s">
        <v>490</v>
      </c>
      <c r="E36" s="69" t="s">
        <v>491</v>
      </c>
      <c r="F36" s="97" t="s">
        <v>10</v>
      </c>
      <c r="G36" s="97" t="s">
        <v>10</v>
      </c>
      <c r="H36" s="97" t="s">
        <v>10</v>
      </c>
      <c r="I36" s="97" t="s">
        <v>10</v>
      </c>
      <c r="J36" s="97" t="s">
        <v>10</v>
      </c>
      <c r="K36" s="97" t="s">
        <v>10</v>
      </c>
      <c r="L36" s="97" t="s">
        <v>10</v>
      </c>
      <c r="M36" s="98"/>
      <c r="N36" s="97"/>
      <c r="O36" s="162"/>
      <c r="P36" s="150"/>
      <c r="Q36" s="150"/>
      <c r="R36" s="150"/>
      <c r="S36" s="155"/>
      <c r="T36" s="72"/>
      <c r="U36" s="71"/>
      <c r="V36" s="71"/>
      <c r="W36" s="71"/>
      <c r="X36" s="71"/>
      <c r="Y36" s="80"/>
      <c r="Z36" s="80"/>
      <c r="AA36" s="80"/>
      <c r="AB36" s="80"/>
      <c r="AC36" s="80"/>
    </row>
    <row r="37" spans="1:29" ht="186" customHeight="1">
      <c r="A37" s="79"/>
      <c r="B37" s="152"/>
      <c r="C37" s="77" t="s">
        <v>234</v>
      </c>
      <c r="D37" s="77" t="s">
        <v>460</v>
      </c>
      <c r="E37" s="69" t="s">
        <v>461</v>
      </c>
      <c r="F37" s="97" t="s">
        <v>10</v>
      </c>
      <c r="G37" s="97" t="s">
        <v>10</v>
      </c>
      <c r="H37" s="97" t="s">
        <v>10</v>
      </c>
      <c r="I37" s="97" t="s">
        <v>10</v>
      </c>
      <c r="J37" s="97" t="s">
        <v>10</v>
      </c>
      <c r="K37" s="97" t="s">
        <v>10</v>
      </c>
      <c r="L37" s="97" t="s">
        <v>10</v>
      </c>
      <c r="M37" s="98"/>
      <c r="N37" s="97"/>
      <c r="O37" s="162"/>
      <c r="P37" s="150"/>
      <c r="Q37" s="150"/>
      <c r="R37" s="150"/>
      <c r="S37" s="155"/>
      <c r="T37" s="72"/>
      <c r="U37" s="71"/>
      <c r="V37" s="71" t="s">
        <v>362</v>
      </c>
      <c r="W37" s="71"/>
      <c r="X37" s="71"/>
      <c r="Y37" s="80"/>
      <c r="Z37" s="80"/>
      <c r="AA37" s="80"/>
      <c r="AB37" s="80"/>
      <c r="AC37" s="80"/>
    </row>
    <row r="38" spans="1:29" ht="202.5" customHeight="1">
      <c r="A38" s="79" t="s">
        <v>394</v>
      </c>
      <c r="B38" s="152"/>
      <c r="C38" s="77" t="s">
        <v>340</v>
      </c>
      <c r="D38" s="77" t="s">
        <v>463</v>
      </c>
      <c r="E38" s="69" t="s">
        <v>492</v>
      </c>
      <c r="F38" s="97" t="s">
        <v>10</v>
      </c>
      <c r="G38" s="97" t="s">
        <v>10</v>
      </c>
      <c r="H38" s="97" t="s">
        <v>10</v>
      </c>
      <c r="I38" s="97" t="s">
        <v>10</v>
      </c>
      <c r="J38" s="97" t="s">
        <v>10</v>
      </c>
      <c r="K38" s="97" t="s">
        <v>10</v>
      </c>
      <c r="L38" s="97" t="s">
        <v>10</v>
      </c>
      <c r="M38" s="98"/>
      <c r="N38" s="97"/>
      <c r="O38" s="162"/>
      <c r="P38" s="150"/>
      <c r="Q38" s="150"/>
      <c r="R38" s="150"/>
      <c r="S38" s="155"/>
      <c r="T38" s="72"/>
      <c r="U38" s="71" t="s">
        <v>363</v>
      </c>
      <c r="V38" s="71" t="s">
        <v>362</v>
      </c>
      <c r="W38" s="71" t="s">
        <v>489</v>
      </c>
      <c r="X38" s="71"/>
      <c r="Y38" s="80"/>
      <c r="Z38" s="80"/>
      <c r="AA38" s="80"/>
      <c r="AB38" s="80"/>
      <c r="AC38" s="80"/>
    </row>
    <row r="39" spans="1:29" ht="297" customHeight="1">
      <c r="A39" s="79" t="s">
        <v>394</v>
      </c>
      <c r="B39" s="152"/>
      <c r="C39" s="77" t="s">
        <v>183</v>
      </c>
      <c r="D39" s="77" t="s">
        <v>493</v>
      </c>
      <c r="E39" s="69" t="s">
        <v>494</v>
      </c>
      <c r="F39" s="97" t="s">
        <v>10</v>
      </c>
      <c r="G39" s="97" t="s">
        <v>10</v>
      </c>
      <c r="H39" s="97" t="s">
        <v>10</v>
      </c>
      <c r="I39" s="97" t="s">
        <v>10</v>
      </c>
      <c r="J39" s="97" t="s">
        <v>10</v>
      </c>
      <c r="K39" s="97" t="s">
        <v>10</v>
      </c>
      <c r="L39" s="97" t="s">
        <v>10</v>
      </c>
      <c r="M39" s="98"/>
      <c r="N39" s="97"/>
      <c r="O39" s="157" t="s">
        <v>495</v>
      </c>
      <c r="P39" s="150"/>
      <c r="Q39" s="150"/>
      <c r="R39" s="150"/>
      <c r="S39" s="155"/>
      <c r="T39" s="72"/>
      <c r="U39" s="71" t="s">
        <v>363</v>
      </c>
      <c r="V39" s="71" t="s">
        <v>362</v>
      </c>
      <c r="W39" s="71"/>
      <c r="X39" s="71"/>
      <c r="Y39" s="80"/>
      <c r="Z39" s="80"/>
      <c r="AA39" s="80"/>
      <c r="AB39" s="80"/>
      <c r="AC39" s="80"/>
    </row>
    <row r="40" spans="1:29" ht="108" customHeight="1">
      <c r="A40" s="79" t="s">
        <v>394</v>
      </c>
      <c r="B40" s="152"/>
      <c r="C40" s="69" t="s">
        <v>469</v>
      </c>
      <c r="D40" s="69" t="s">
        <v>470</v>
      </c>
      <c r="E40" s="69" t="s">
        <v>496</v>
      </c>
      <c r="F40" s="97" t="s">
        <v>386</v>
      </c>
      <c r="G40" s="97" t="s">
        <v>10</v>
      </c>
      <c r="H40" s="97" t="s">
        <v>10</v>
      </c>
      <c r="I40" s="97" t="s">
        <v>10</v>
      </c>
      <c r="J40" s="97" t="s">
        <v>10</v>
      </c>
      <c r="K40" s="97" t="s">
        <v>10</v>
      </c>
      <c r="L40" s="97" t="s">
        <v>10</v>
      </c>
      <c r="M40" s="98"/>
      <c r="N40" s="97" t="s">
        <v>472</v>
      </c>
      <c r="O40" s="174" t="s">
        <v>497</v>
      </c>
      <c r="P40" s="159"/>
      <c r="Q40" s="159"/>
      <c r="R40" s="159"/>
      <c r="S40" s="175"/>
      <c r="T40" s="72"/>
      <c r="U40" s="71" t="s">
        <v>363</v>
      </c>
      <c r="V40" s="71" t="s">
        <v>362</v>
      </c>
      <c r="W40" s="71" t="s">
        <v>489</v>
      </c>
      <c r="X40" s="71"/>
      <c r="Y40" s="80"/>
      <c r="Z40" s="80"/>
      <c r="AA40" s="80"/>
      <c r="AB40" s="80"/>
      <c r="AC40" s="80"/>
    </row>
    <row r="41" spans="1:29" ht="169.5" customHeight="1">
      <c r="A41" s="79" t="s">
        <v>394</v>
      </c>
      <c r="B41" s="152"/>
      <c r="C41" s="77" t="s">
        <v>440</v>
      </c>
      <c r="D41" s="69" t="s">
        <v>498</v>
      </c>
      <c r="E41" s="69" t="s">
        <v>499</v>
      </c>
      <c r="F41" s="97" t="s">
        <v>10</v>
      </c>
      <c r="G41" s="97" t="s">
        <v>10</v>
      </c>
      <c r="H41" s="97" t="s">
        <v>10</v>
      </c>
      <c r="I41" s="97" t="s">
        <v>10</v>
      </c>
      <c r="J41" s="97" t="s">
        <v>10</v>
      </c>
      <c r="K41" s="97" t="s">
        <v>10</v>
      </c>
      <c r="L41" s="97" t="s">
        <v>10</v>
      </c>
      <c r="M41" s="98"/>
      <c r="N41" s="97"/>
      <c r="O41" s="163"/>
      <c r="P41" s="150"/>
      <c r="Q41" s="150"/>
      <c r="R41" s="150"/>
      <c r="S41" s="155"/>
      <c r="T41" s="72"/>
      <c r="U41" s="71" t="s">
        <v>363</v>
      </c>
      <c r="V41" s="71" t="s">
        <v>364</v>
      </c>
      <c r="W41" s="72" t="s">
        <v>500</v>
      </c>
      <c r="X41" s="71"/>
      <c r="Y41" s="80"/>
      <c r="Z41" s="80"/>
      <c r="AA41" s="80"/>
      <c r="AB41" s="80"/>
      <c r="AC41" s="80"/>
    </row>
    <row r="42" spans="1:29" ht="260.25" customHeight="1">
      <c r="A42" s="79" t="s">
        <v>394</v>
      </c>
      <c r="B42" s="103" t="s">
        <v>501</v>
      </c>
      <c r="C42" s="75" t="s">
        <v>276</v>
      </c>
      <c r="D42" s="75" t="s">
        <v>502</v>
      </c>
      <c r="E42" s="75" t="s">
        <v>503</v>
      </c>
      <c r="F42" s="97" t="s">
        <v>386</v>
      </c>
      <c r="G42" s="97" t="s">
        <v>386</v>
      </c>
      <c r="H42" s="97" t="s">
        <v>386</v>
      </c>
      <c r="I42" s="97" t="s">
        <v>386</v>
      </c>
      <c r="J42" s="97" t="s">
        <v>386</v>
      </c>
      <c r="K42" s="97" t="s">
        <v>386</v>
      </c>
      <c r="L42" s="97" t="s">
        <v>386</v>
      </c>
      <c r="M42" s="98"/>
      <c r="N42" s="97" t="s">
        <v>504</v>
      </c>
      <c r="O42" s="157" t="s">
        <v>505</v>
      </c>
      <c r="P42" s="150"/>
      <c r="Q42" s="150"/>
      <c r="R42" s="150"/>
      <c r="S42" s="155"/>
      <c r="T42" s="70" t="s">
        <v>277</v>
      </c>
      <c r="U42" s="71" t="s">
        <v>365</v>
      </c>
      <c r="V42" s="71" t="s">
        <v>362</v>
      </c>
      <c r="W42" s="72"/>
      <c r="X42" s="72"/>
      <c r="Y42" s="80"/>
      <c r="Z42" s="80"/>
      <c r="AA42" s="80"/>
      <c r="AB42" s="80"/>
      <c r="AC42" s="80"/>
    </row>
    <row r="43" spans="1:29" ht="15.75" customHeight="1">
      <c r="A43" s="94" t="s">
        <v>388</v>
      </c>
      <c r="B43" s="149" t="s">
        <v>506</v>
      </c>
      <c r="C43" s="150"/>
      <c r="D43" s="150"/>
      <c r="E43" s="150"/>
      <c r="F43" s="104" t="s">
        <v>393</v>
      </c>
      <c r="G43" s="104" t="s">
        <v>393</v>
      </c>
      <c r="H43" s="104"/>
      <c r="I43" s="104" t="s">
        <v>393</v>
      </c>
      <c r="J43" s="104" t="s">
        <v>393</v>
      </c>
      <c r="K43" s="104" t="s">
        <v>393</v>
      </c>
      <c r="L43" s="104" t="s">
        <v>393</v>
      </c>
      <c r="M43" s="104" t="s">
        <v>393</v>
      </c>
      <c r="N43" s="105"/>
      <c r="O43" s="176"/>
      <c r="P43" s="150"/>
      <c r="Q43" s="150"/>
      <c r="R43" s="150"/>
      <c r="S43" s="150"/>
      <c r="T43" s="50"/>
      <c r="U43" s="50"/>
      <c r="V43" s="50"/>
      <c r="W43" s="50"/>
      <c r="X43" s="50"/>
      <c r="Y43" s="50"/>
      <c r="Z43" s="50"/>
      <c r="AA43" s="50"/>
      <c r="AB43" s="50"/>
      <c r="AC43" s="50"/>
    </row>
    <row r="44" spans="1:29" ht="105" customHeight="1">
      <c r="A44" s="79"/>
      <c r="B44" s="106"/>
      <c r="C44" s="75" t="s">
        <v>131</v>
      </c>
      <c r="D44" s="75" t="s">
        <v>507</v>
      </c>
      <c r="E44" s="75" t="s">
        <v>508</v>
      </c>
      <c r="F44" s="97" t="s">
        <v>10</v>
      </c>
      <c r="G44" s="97" t="s">
        <v>10</v>
      </c>
      <c r="H44" s="97" t="s">
        <v>10</v>
      </c>
      <c r="I44" s="97" t="s">
        <v>10</v>
      </c>
      <c r="J44" s="97" t="s">
        <v>10</v>
      </c>
      <c r="K44" s="97" t="s">
        <v>10</v>
      </c>
      <c r="L44" s="97" t="s">
        <v>10</v>
      </c>
      <c r="M44" s="98"/>
      <c r="N44" s="97"/>
      <c r="O44" s="163"/>
      <c r="P44" s="150"/>
      <c r="Q44" s="150"/>
      <c r="R44" s="150"/>
      <c r="S44" s="155"/>
      <c r="T44" s="107"/>
      <c r="U44" s="108"/>
      <c r="V44" s="108"/>
      <c r="W44" s="107"/>
      <c r="X44" s="107"/>
      <c r="Y44" s="80"/>
      <c r="Z44" s="80"/>
      <c r="AA44" s="80"/>
      <c r="AB44" s="80"/>
      <c r="AC44" s="80"/>
    </row>
    <row r="45" spans="1:29" ht="106.5" customHeight="1">
      <c r="A45" s="79"/>
      <c r="B45" s="109" t="s">
        <v>506</v>
      </c>
      <c r="C45" s="75" t="s">
        <v>133</v>
      </c>
      <c r="D45" s="75" t="s">
        <v>509</v>
      </c>
      <c r="E45" s="75" t="s">
        <v>510</v>
      </c>
      <c r="F45" s="97" t="s">
        <v>10</v>
      </c>
      <c r="G45" s="97" t="s">
        <v>10</v>
      </c>
      <c r="H45" s="97" t="s">
        <v>10</v>
      </c>
      <c r="I45" s="97" t="s">
        <v>10</v>
      </c>
      <c r="J45" s="97" t="s">
        <v>10</v>
      </c>
      <c r="K45" s="97" t="s">
        <v>10</v>
      </c>
      <c r="L45" s="97" t="s">
        <v>10</v>
      </c>
      <c r="M45" s="98"/>
      <c r="N45" s="97"/>
      <c r="O45" s="163"/>
      <c r="P45" s="150"/>
      <c r="Q45" s="150"/>
      <c r="R45" s="150"/>
      <c r="S45" s="155"/>
      <c r="T45" s="72"/>
      <c r="U45" s="71"/>
      <c r="V45" s="71"/>
      <c r="W45" s="72"/>
      <c r="X45" s="72"/>
      <c r="Y45" s="80"/>
      <c r="Z45" s="80"/>
      <c r="AA45" s="80"/>
      <c r="AB45" s="80"/>
      <c r="AC45" s="80"/>
    </row>
    <row r="46" spans="1:29" ht="15.75" customHeight="1">
      <c r="A46" s="94" t="s">
        <v>388</v>
      </c>
      <c r="B46" s="164" t="s">
        <v>511</v>
      </c>
      <c r="C46" s="150"/>
      <c r="D46" s="150"/>
      <c r="E46" s="150"/>
      <c r="F46" s="110" t="s">
        <v>393</v>
      </c>
      <c r="G46" s="110" t="s">
        <v>393</v>
      </c>
      <c r="H46" s="110" t="s">
        <v>393</v>
      </c>
      <c r="I46" s="110" t="s">
        <v>393</v>
      </c>
      <c r="J46" s="110" t="s">
        <v>393</v>
      </c>
      <c r="K46" s="110" t="s">
        <v>393</v>
      </c>
      <c r="L46" s="110" t="s">
        <v>393</v>
      </c>
      <c r="M46" s="110" t="s">
        <v>393</v>
      </c>
      <c r="N46" s="111"/>
      <c r="O46" s="111"/>
      <c r="P46" s="111"/>
      <c r="Q46" s="111"/>
      <c r="R46" s="111"/>
      <c r="S46" s="111"/>
      <c r="T46" s="50"/>
      <c r="U46" s="50"/>
      <c r="V46" s="50"/>
      <c r="W46" s="50"/>
      <c r="X46" s="50"/>
      <c r="Y46" s="50"/>
      <c r="Z46" s="50"/>
      <c r="AA46" s="50"/>
      <c r="AB46" s="50"/>
      <c r="AC46" s="50"/>
    </row>
    <row r="47" spans="1:29" ht="123.75" customHeight="1">
      <c r="A47" s="79" t="s">
        <v>394</v>
      </c>
      <c r="B47" s="112" t="s">
        <v>512</v>
      </c>
      <c r="C47" s="75" t="s">
        <v>513</v>
      </c>
      <c r="D47" s="75" t="s">
        <v>514</v>
      </c>
      <c r="E47" s="75" t="s">
        <v>515</v>
      </c>
      <c r="F47" s="97" t="s">
        <v>10</v>
      </c>
      <c r="G47" s="97" t="s">
        <v>10</v>
      </c>
      <c r="H47" s="97" t="s">
        <v>10</v>
      </c>
      <c r="I47" s="97" t="s">
        <v>10</v>
      </c>
      <c r="J47" s="97"/>
      <c r="K47" s="97" t="s">
        <v>10</v>
      </c>
      <c r="L47" s="97" t="s">
        <v>10</v>
      </c>
      <c r="M47" s="98"/>
      <c r="N47" s="113" t="s">
        <v>516</v>
      </c>
      <c r="O47" s="163"/>
      <c r="P47" s="150"/>
      <c r="Q47" s="150"/>
      <c r="R47" s="150"/>
      <c r="S47" s="155"/>
      <c r="T47" s="72"/>
      <c r="U47" s="71"/>
      <c r="V47" s="71" t="s">
        <v>362</v>
      </c>
      <c r="W47" s="72"/>
      <c r="X47" s="72"/>
      <c r="Y47" s="80"/>
      <c r="Z47" s="80"/>
      <c r="AA47" s="80"/>
      <c r="AB47" s="80"/>
      <c r="AC47" s="80"/>
    </row>
    <row r="48" spans="1:29" ht="69" customHeight="1">
      <c r="A48" s="79"/>
      <c r="B48" s="112" t="s">
        <v>517</v>
      </c>
      <c r="C48" s="75" t="s">
        <v>513</v>
      </c>
      <c r="D48" s="75" t="s">
        <v>518</v>
      </c>
      <c r="E48" s="75" t="s">
        <v>519</v>
      </c>
      <c r="F48" s="97" t="s">
        <v>10</v>
      </c>
      <c r="G48" s="97" t="s">
        <v>10</v>
      </c>
      <c r="H48" s="97" t="s">
        <v>10</v>
      </c>
      <c r="I48" s="97" t="s">
        <v>10</v>
      </c>
      <c r="J48" s="97"/>
      <c r="K48" s="97" t="s">
        <v>10</v>
      </c>
      <c r="L48" s="97" t="s">
        <v>10</v>
      </c>
      <c r="M48" s="98"/>
      <c r="N48" s="113" t="s">
        <v>520</v>
      </c>
      <c r="O48" s="163"/>
      <c r="P48" s="150"/>
      <c r="Q48" s="150"/>
      <c r="R48" s="150"/>
      <c r="S48" s="155"/>
      <c r="T48" s="72"/>
      <c r="U48" s="71"/>
      <c r="V48" s="71" t="s">
        <v>362</v>
      </c>
      <c r="W48" s="72"/>
      <c r="X48" s="72"/>
      <c r="Y48" s="80"/>
      <c r="Z48" s="80"/>
      <c r="AA48" s="80"/>
      <c r="AB48" s="80"/>
      <c r="AC48" s="80"/>
    </row>
    <row r="49" spans="1:29" ht="90" customHeight="1">
      <c r="A49" s="79" t="s">
        <v>394</v>
      </c>
      <c r="B49" s="151" t="s">
        <v>521</v>
      </c>
      <c r="C49" s="75" t="s">
        <v>522</v>
      </c>
      <c r="D49" s="75" t="s">
        <v>523</v>
      </c>
      <c r="E49" s="75" t="s">
        <v>524</v>
      </c>
      <c r="F49" s="97" t="s">
        <v>10</v>
      </c>
      <c r="G49" s="97" t="s">
        <v>10</v>
      </c>
      <c r="H49" s="97" t="s">
        <v>10</v>
      </c>
      <c r="I49" s="97" t="s">
        <v>10</v>
      </c>
      <c r="J49" s="97"/>
      <c r="K49" s="97" t="s">
        <v>10</v>
      </c>
      <c r="L49" s="97" t="s">
        <v>10</v>
      </c>
      <c r="M49" s="98"/>
      <c r="N49" s="97"/>
      <c r="O49" s="163"/>
      <c r="P49" s="150"/>
      <c r="Q49" s="150"/>
      <c r="R49" s="150"/>
      <c r="S49" s="155"/>
      <c r="T49" s="72"/>
      <c r="U49" s="71"/>
      <c r="V49" s="71" t="s">
        <v>362</v>
      </c>
      <c r="W49" s="72"/>
      <c r="X49" s="72"/>
      <c r="Y49" s="80"/>
      <c r="Z49" s="80"/>
      <c r="AA49" s="80"/>
      <c r="AB49" s="80"/>
      <c r="AC49" s="80"/>
    </row>
    <row r="50" spans="1:29" ht="126.75" customHeight="1">
      <c r="A50" s="79" t="s">
        <v>394</v>
      </c>
      <c r="B50" s="152"/>
      <c r="C50" s="75" t="s">
        <v>525</v>
      </c>
      <c r="D50" s="75" t="s">
        <v>526</v>
      </c>
      <c r="E50" s="75" t="s">
        <v>527</v>
      </c>
      <c r="F50" s="97" t="s">
        <v>10</v>
      </c>
      <c r="G50" s="97" t="s">
        <v>10</v>
      </c>
      <c r="H50" s="97" t="s">
        <v>10</v>
      </c>
      <c r="I50" s="97" t="s">
        <v>10</v>
      </c>
      <c r="J50" s="97"/>
      <c r="K50" s="97" t="s">
        <v>10</v>
      </c>
      <c r="L50" s="97" t="s">
        <v>10</v>
      </c>
      <c r="M50" s="98"/>
      <c r="N50" s="97"/>
      <c r="O50" s="163"/>
      <c r="P50" s="150"/>
      <c r="Q50" s="150"/>
      <c r="R50" s="150"/>
      <c r="S50" s="155"/>
      <c r="T50" s="72"/>
      <c r="U50" s="71"/>
      <c r="V50" s="71" t="s">
        <v>362</v>
      </c>
      <c r="W50" s="72"/>
      <c r="X50" s="72"/>
      <c r="Y50" s="80"/>
      <c r="Z50" s="80"/>
      <c r="AA50" s="80"/>
      <c r="AB50" s="80"/>
      <c r="AC50" s="80"/>
    </row>
    <row r="51" spans="1:29" ht="85.5">
      <c r="A51" s="79" t="s">
        <v>394</v>
      </c>
      <c r="B51" s="152"/>
      <c r="C51" s="74" t="s">
        <v>528</v>
      </c>
      <c r="D51" s="75" t="s">
        <v>529</v>
      </c>
      <c r="E51" s="75" t="s">
        <v>530</v>
      </c>
      <c r="F51" s="97" t="s">
        <v>10</v>
      </c>
      <c r="G51" s="97" t="s">
        <v>10</v>
      </c>
      <c r="H51" s="97" t="s">
        <v>10</v>
      </c>
      <c r="I51" s="97" t="s">
        <v>10</v>
      </c>
      <c r="J51" s="97"/>
      <c r="K51" s="97" t="s">
        <v>10</v>
      </c>
      <c r="L51" s="97" t="s">
        <v>10</v>
      </c>
      <c r="M51" s="98"/>
      <c r="N51" s="97"/>
      <c r="O51" s="163"/>
      <c r="P51" s="150"/>
      <c r="Q51" s="150"/>
      <c r="R51" s="150"/>
      <c r="S51" s="155"/>
      <c r="T51" s="72"/>
      <c r="U51" s="71"/>
      <c r="V51" s="71" t="s">
        <v>362</v>
      </c>
      <c r="W51" s="72"/>
      <c r="X51" s="72"/>
      <c r="Y51" s="80"/>
      <c r="Z51" s="80"/>
      <c r="AA51" s="80"/>
      <c r="AB51" s="80"/>
      <c r="AC51" s="80"/>
    </row>
    <row r="52" spans="1:29" ht="99.75">
      <c r="A52" s="79" t="s">
        <v>394</v>
      </c>
      <c r="B52" s="152"/>
      <c r="C52" s="153" t="s">
        <v>531</v>
      </c>
      <c r="D52" s="75" t="s">
        <v>532</v>
      </c>
      <c r="E52" s="75" t="s">
        <v>533</v>
      </c>
      <c r="F52" s="97" t="s">
        <v>10</v>
      </c>
      <c r="G52" s="97" t="s">
        <v>10</v>
      </c>
      <c r="H52" s="97" t="s">
        <v>10</v>
      </c>
      <c r="I52" s="97" t="s">
        <v>10</v>
      </c>
      <c r="J52" s="97"/>
      <c r="K52" s="97" t="s">
        <v>12</v>
      </c>
      <c r="L52" s="97" t="s">
        <v>12</v>
      </c>
      <c r="M52" s="98"/>
      <c r="N52" s="97"/>
      <c r="O52" s="163"/>
      <c r="P52" s="150"/>
      <c r="Q52" s="150"/>
      <c r="R52" s="150"/>
      <c r="S52" s="155"/>
      <c r="T52" s="72"/>
      <c r="U52" s="71"/>
      <c r="V52" s="71" t="s">
        <v>362</v>
      </c>
      <c r="W52" s="72"/>
      <c r="X52" s="72"/>
      <c r="Y52" s="80"/>
      <c r="Z52" s="80"/>
      <c r="AA52" s="80"/>
      <c r="AB52" s="80"/>
      <c r="AC52" s="80"/>
    </row>
    <row r="53" spans="1:29" ht="28.5">
      <c r="A53" s="79" t="s">
        <v>394</v>
      </c>
      <c r="B53" s="112" t="s">
        <v>534</v>
      </c>
      <c r="C53" s="152"/>
      <c r="D53" s="154" t="s">
        <v>535</v>
      </c>
      <c r="E53" s="155"/>
      <c r="F53" s="97" t="s">
        <v>10</v>
      </c>
      <c r="G53" s="97" t="s">
        <v>10</v>
      </c>
      <c r="H53" s="97" t="s">
        <v>10</v>
      </c>
      <c r="I53" s="97" t="s">
        <v>10</v>
      </c>
      <c r="J53" s="97"/>
      <c r="K53" s="97" t="s">
        <v>10</v>
      </c>
      <c r="L53" s="97" t="s">
        <v>10</v>
      </c>
      <c r="M53" s="98"/>
      <c r="N53" s="97"/>
      <c r="O53" s="163"/>
      <c r="P53" s="150"/>
      <c r="Q53" s="150"/>
      <c r="R53" s="150"/>
      <c r="S53" s="155"/>
      <c r="T53" s="72"/>
      <c r="U53" s="71"/>
      <c r="V53" s="71" t="s">
        <v>362</v>
      </c>
      <c r="W53" s="72"/>
      <c r="X53" s="72"/>
      <c r="Y53" s="80"/>
      <c r="Z53" s="80"/>
      <c r="AA53" s="80"/>
      <c r="AB53" s="80"/>
      <c r="AC53" s="80"/>
    </row>
    <row r="54" spans="1:29" ht="409.5">
      <c r="A54" s="79" t="s">
        <v>394</v>
      </c>
      <c r="B54" s="151" t="s">
        <v>536</v>
      </c>
      <c r="C54" s="75" t="s">
        <v>537</v>
      </c>
      <c r="D54" s="75" t="s">
        <v>538</v>
      </c>
      <c r="E54" s="75" t="s">
        <v>539</v>
      </c>
      <c r="F54" s="97" t="s">
        <v>386</v>
      </c>
      <c r="G54" s="97" t="s">
        <v>386</v>
      </c>
      <c r="H54" s="97" t="s">
        <v>386</v>
      </c>
      <c r="I54" s="97" t="s">
        <v>386</v>
      </c>
      <c r="J54" s="97"/>
      <c r="K54" s="97" t="s">
        <v>12</v>
      </c>
      <c r="L54" s="97" t="s">
        <v>12</v>
      </c>
      <c r="M54" s="98"/>
      <c r="N54" s="113" t="s">
        <v>540</v>
      </c>
      <c r="O54" s="163"/>
      <c r="P54" s="150"/>
      <c r="Q54" s="150"/>
      <c r="R54" s="150"/>
      <c r="S54" s="155"/>
      <c r="T54" s="72"/>
      <c r="U54" s="71"/>
      <c r="V54" s="71" t="s">
        <v>362</v>
      </c>
      <c r="W54" s="72"/>
      <c r="X54" s="72"/>
      <c r="Y54" s="80"/>
      <c r="Z54" s="80"/>
      <c r="AA54" s="80"/>
      <c r="AB54" s="80"/>
      <c r="AC54" s="80"/>
    </row>
    <row r="55" spans="1:29" ht="71.25">
      <c r="A55" s="79" t="s">
        <v>394</v>
      </c>
      <c r="B55" s="152"/>
      <c r="C55" s="153" t="s">
        <v>541</v>
      </c>
      <c r="D55" s="75" t="s">
        <v>542</v>
      </c>
      <c r="E55" s="75" t="s">
        <v>543</v>
      </c>
      <c r="F55" s="97" t="s">
        <v>10</v>
      </c>
      <c r="G55" s="97" t="s">
        <v>10</v>
      </c>
      <c r="H55" s="97" t="s">
        <v>10</v>
      </c>
      <c r="I55" s="97" t="s">
        <v>10</v>
      </c>
      <c r="J55" s="97"/>
      <c r="K55" s="97" t="s">
        <v>10</v>
      </c>
      <c r="L55" s="97" t="s">
        <v>10</v>
      </c>
      <c r="M55" s="98"/>
      <c r="N55" s="97"/>
      <c r="O55" s="163"/>
      <c r="P55" s="150"/>
      <c r="Q55" s="150"/>
      <c r="R55" s="150"/>
      <c r="S55" s="155"/>
      <c r="T55" s="72"/>
      <c r="U55" s="71"/>
      <c r="V55" s="71" t="s">
        <v>362</v>
      </c>
      <c r="W55" s="72"/>
      <c r="X55" s="72"/>
      <c r="Y55" s="80"/>
      <c r="Z55" s="80"/>
      <c r="AA55" s="80"/>
      <c r="AB55" s="80"/>
      <c r="AC55" s="80"/>
    </row>
    <row r="56" spans="1:29" ht="57">
      <c r="A56" s="79" t="s">
        <v>394</v>
      </c>
      <c r="B56" s="152"/>
      <c r="C56" s="152"/>
      <c r="D56" s="75" t="s">
        <v>544</v>
      </c>
      <c r="E56" s="75" t="s">
        <v>545</v>
      </c>
      <c r="F56" s="97" t="s">
        <v>10</v>
      </c>
      <c r="G56" s="97" t="s">
        <v>10</v>
      </c>
      <c r="H56" s="97" t="s">
        <v>10</v>
      </c>
      <c r="I56" s="97" t="s">
        <v>10</v>
      </c>
      <c r="J56" s="97"/>
      <c r="K56" s="97" t="s">
        <v>10</v>
      </c>
      <c r="L56" s="97" t="s">
        <v>10</v>
      </c>
      <c r="M56" s="98"/>
      <c r="N56" s="97"/>
      <c r="O56" s="163"/>
      <c r="P56" s="150"/>
      <c r="Q56" s="150"/>
      <c r="R56" s="150"/>
      <c r="S56" s="155"/>
      <c r="T56" s="72"/>
      <c r="U56" s="71"/>
      <c r="V56" s="71" t="s">
        <v>362</v>
      </c>
      <c r="W56" s="72"/>
      <c r="X56" s="72"/>
      <c r="Y56" s="80"/>
      <c r="Z56" s="80"/>
      <c r="AA56" s="80"/>
      <c r="AB56" s="80"/>
      <c r="AC56" s="80"/>
    </row>
    <row r="57" spans="1:29" ht="156.75">
      <c r="A57" s="79" t="s">
        <v>394</v>
      </c>
      <c r="B57" s="152"/>
      <c r="C57" s="153" t="s">
        <v>242</v>
      </c>
      <c r="D57" s="75" t="s">
        <v>546</v>
      </c>
      <c r="E57" s="75" t="s">
        <v>547</v>
      </c>
      <c r="F57" s="97"/>
      <c r="G57" s="97"/>
      <c r="H57" s="97"/>
      <c r="I57" s="97"/>
      <c r="J57" s="97"/>
      <c r="K57" s="97"/>
      <c r="L57" s="97"/>
      <c r="M57" s="98"/>
      <c r="N57" s="97"/>
      <c r="O57" s="163"/>
      <c r="P57" s="150"/>
      <c r="Q57" s="150"/>
      <c r="R57" s="150"/>
      <c r="S57" s="155"/>
      <c r="T57" s="72"/>
      <c r="U57" s="71"/>
      <c r="V57" s="71" t="s">
        <v>362</v>
      </c>
      <c r="W57" s="72"/>
      <c r="X57" s="72"/>
      <c r="Y57" s="80"/>
      <c r="Z57" s="80"/>
      <c r="AA57" s="80"/>
      <c r="AB57" s="80"/>
      <c r="AC57" s="80"/>
    </row>
    <row r="58" spans="1:29" ht="356.25">
      <c r="A58" s="79" t="s">
        <v>394</v>
      </c>
      <c r="B58" s="152"/>
      <c r="C58" s="152"/>
      <c r="D58" s="75" t="s">
        <v>548</v>
      </c>
      <c r="E58" s="75" t="s">
        <v>549</v>
      </c>
      <c r="F58" s="97" t="s">
        <v>10</v>
      </c>
      <c r="G58" s="97" t="s">
        <v>10</v>
      </c>
      <c r="H58" s="97" t="s">
        <v>10</v>
      </c>
      <c r="I58" s="97" t="s">
        <v>12</v>
      </c>
      <c r="J58" s="97"/>
      <c r="K58" s="97" t="s">
        <v>12</v>
      </c>
      <c r="L58" s="97" t="s">
        <v>12</v>
      </c>
      <c r="M58" s="98"/>
      <c r="N58" s="113" t="s">
        <v>550</v>
      </c>
      <c r="O58" s="177" t="s">
        <v>551</v>
      </c>
      <c r="P58" s="150"/>
      <c r="Q58" s="150"/>
      <c r="R58" s="150"/>
      <c r="S58" s="155"/>
      <c r="T58" s="72"/>
      <c r="U58" s="71"/>
      <c r="V58" s="71" t="s">
        <v>362</v>
      </c>
      <c r="W58" s="72"/>
      <c r="X58" s="72"/>
      <c r="Y58" s="80"/>
      <c r="Z58" s="80"/>
      <c r="AA58" s="80"/>
      <c r="AB58" s="80"/>
      <c r="AC58" s="80"/>
    </row>
    <row r="59" spans="1:29" ht="114">
      <c r="A59" s="79"/>
      <c r="B59" s="152"/>
      <c r="C59" s="156"/>
      <c r="D59" s="75" t="s">
        <v>552</v>
      </c>
      <c r="E59" s="75" t="s">
        <v>553</v>
      </c>
      <c r="F59" s="97" t="s">
        <v>10</v>
      </c>
      <c r="G59" s="97" t="s">
        <v>10</v>
      </c>
      <c r="H59" s="97" t="s">
        <v>10</v>
      </c>
      <c r="I59" s="97" t="s">
        <v>10</v>
      </c>
      <c r="J59" s="97"/>
      <c r="K59" s="97" t="s">
        <v>10</v>
      </c>
      <c r="L59" s="97" t="s">
        <v>10</v>
      </c>
      <c r="M59" s="98"/>
      <c r="N59" s="97"/>
      <c r="O59" s="163"/>
      <c r="P59" s="150"/>
      <c r="Q59" s="150"/>
      <c r="R59" s="150"/>
      <c r="S59" s="155"/>
      <c r="T59" s="72"/>
      <c r="U59" s="71"/>
      <c r="V59" s="71" t="s">
        <v>362</v>
      </c>
      <c r="W59" s="72"/>
      <c r="X59" s="72"/>
      <c r="Y59" s="80"/>
      <c r="Z59" s="80"/>
      <c r="AA59" s="80"/>
      <c r="AB59" s="80"/>
      <c r="AC59" s="80"/>
    </row>
    <row r="60" spans="1:29" ht="42.75">
      <c r="A60" s="79" t="s">
        <v>394</v>
      </c>
      <c r="B60" s="152"/>
      <c r="C60" s="153" t="s">
        <v>541</v>
      </c>
      <c r="D60" s="75" t="s">
        <v>554</v>
      </c>
      <c r="E60" s="75" t="s">
        <v>555</v>
      </c>
      <c r="F60" s="97" t="s">
        <v>10</v>
      </c>
      <c r="G60" s="97" t="s">
        <v>10</v>
      </c>
      <c r="H60" s="97" t="s">
        <v>10</v>
      </c>
      <c r="I60" s="97" t="s">
        <v>10</v>
      </c>
      <c r="J60" s="97"/>
      <c r="K60" s="97" t="s">
        <v>10</v>
      </c>
      <c r="L60" s="97" t="s">
        <v>10</v>
      </c>
      <c r="M60" s="98"/>
      <c r="N60" s="97"/>
      <c r="O60" s="163"/>
      <c r="P60" s="150"/>
      <c r="Q60" s="150"/>
      <c r="R60" s="150"/>
      <c r="S60" s="155"/>
      <c r="T60" s="72"/>
      <c r="U60" s="71"/>
      <c r="V60" s="71" t="s">
        <v>362</v>
      </c>
      <c r="W60" s="72"/>
      <c r="X60" s="72"/>
      <c r="Y60" s="80"/>
      <c r="Z60" s="80"/>
      <c r="AA60" s="80"/>
      <c r="AB60" s="80"/>
      <c r="AC60" s="80"/>
    </row>
    <row r="61" spans="1:29" ht="57">
      <c r="A61" s="79" t="s">
        <v>394</v>
      </c>
      <c r="B61" s="152"/>
      <c r="C61" s="152"/>
      <c r="D61" s="75" t="s">
        <v>556</v>
      </c>
      <c r="E61" s="75" t="s">
        <v>557</v>
      </c>
      <c r="F61" s="97" t="s">
        <v>10</v>
      </c>
      <c r="G61" s="97" t="s">
        <v>10</v>
      </c>
      <c r="H61" s="97" t="s">
        <v>10</v>
      </c>
      <c r="I61" s="97" t="s">
        <v>10</v>
      </c>
      <c r="J61" s="97"/>
      <c r="K61" s="97" t="s">
        <v>10</v>
      </c>
      <c r="L61" s="97" t="s">
        <v>10</v>
      </c>
      <c r="M61" s="98"/>
      <c r="N61" s="97"/>
      <c r="O61" s="163"/>
      <c r="P61" s="150"/>
      <c r="Q61" s="150"/>
      <c r="R61" s="150"/>
      <c r="S61" s="155"/>
      <c r="T61" s="72"/>
      <c r="U61" s="71"/>
      <c r="V61" s="71" t="s">
        <v>362</v>
      </c>
      <c r="W61" s="72"/>
      <c r="X61" s="72"/>
      <c r="Y61" s="80"/>
      <c r="Z61" s="80"/>
      <c r="AA61" s="80"/>
      <c r="AB61" s="80"/>
      <c r="AC61" s="80"/>
    </row>
    <row r="62" spans="1:29" ht="42.75">
      <c r="A62" s="79" t="s">
        <v>394</v>
      </c>
      <c r="B62" s="152"/>
      <c r="C62" s="156"/>
      <c r="D62" s="75" t="s">
        <v>558</v>
      </c>
      <c r="E62" s="75" t="s">
        <v>559</v>
      </c>
      <c r="F62" s="97"/>
      <c r="G62" s="97"/>
      <c r="H62" s="97"/>
      <c r="I62" s="97"/>
      <c r="J62" s="97"/>
      <c r="K62" s="97"/>
      <c r="L62" s="97"/>
      <c r="M62" s="98"/>
      <c r="N62" s="97"/>
      <c r="O62" s="163"/>
      <c r="P62" s="150"/>
      <c r="Q62" s="150"/>
      <c r="R62" s="150"/>
      <c r="S62" s="155"/>
      <c r="T62" s="72"/>
      <c r="U62" s="71"/>
      <c r="V62" s="71" t="s">
        <v>362</v>
      </c>
      <c r="W62" s="72"/>
      <c r="X62" s="72"/>
      <c r="Y62" s="80"/>
      <c r="Z62" s="80"/>
      <c r="AA62" s="80"/>
      <c r="AB62" s="80"/>
      <c r="AC62" s="80"/>
    </row>
    <row r="63" spans="1:29" ht="28.5">
      <c r="A63" s="79" t="s">
        <v>394</v>
      </c>
      <c r="B63" s="152"/>
      <c r="C63" s="153" t="s">
        <v>560</v>
      </c>
      <c r="D63" s="75" t="s">
        <v>561</v>
      </c>
      <c r="E63" s="75" t="s">
        <v>562</v>
      </c>
      <c r="F63" s="97"/>
      <c r="G63" s="97"/>
      <c r="H63" s="97"/>
      <c r="I63" s="97"/>
      <c r="J63" s="97"/>
      <c r="K63" s="97"/>
      <c r="L63" s="97"/>
      <c r="M63" s="98"/>
      <c r="N63" s="97"/>
      <c r="O63" s="97"/>
      <c r="P63" s="97"/>
      <c r="Q63" s="97"/>
      <c r="R63" s="97"/>
      <c r="S63" s="97"/>
      <c r="T63" s="72"/>
      <c r="U63" s="71"/>
      <c r="V63" s="71" t="s">
        <v>362</v>
      </c>
      <c r="W63" s="72"/>
      <c r="X63" s="72"/>
      <c r="Y63" s="80"/>
      <c r="Z63" s="80"/>
      <c r="AA63" s="80"/>
      <c r="AB63" s="80"/>
      <c r="AC63" s="80"/>
    </row>
    <row r="64" spans="1:29" ht="171">
      <c r="A64" s="79" t="s">
        <v>394</v>
      </c>
      <c r="B64" s="152"/>
      <c r="C64" s="152"/>
      <c r="D64" s="75" t="s">
        <v>563</v>
      </c>
      <c r="E64" s="75" t="s">
        <v>564</v>
      </c>
      <c r="F64" s="97" t="s">
        <v>10</v>
      </c>
      <c r="G64" s="97" t="s">
        <v>10</v>
      </c>
      <c r="H64" s="97" t="s">
        <v>10</v>
      </c>
      <c r="I64" s="97" t="s">
        <v>10</v>
      </c>
      <c r="J64" s="97"/>
      <c r="K64" s="97" t="s">
        <v>10</v>
      </c>
      <c r="L64" s="97" t="s">
        <v>10</v>
      </c>
      <c r="M64" s="98"/>
      <c r="N64" s="97"/>
      <c r="O64" s="163"/>
      <c r="P64" s="150"/>
      <c r="Q64" s="150"/>
      <c r="R64" s="150"/>
      <c r="S64" s="155"/>
      <c r="T64" s="72"/>
      <c r="U64" s="71"/>
      <c r="V64" s="71" t="s">
        <v>362</v>
      </c>
      <c r="W64" s="72"/>
      <c r="X64" s="72"/>
      <c r="Y64" s="80"/>
      <c r="Z64" s="80"/>
      <c r="AA64" s="80"/>
      <c r="AB64" s="80"/>
      <c r="AC64" s="80"/>
    </row>
    <row r="65" spans="1:29" ht="171">
      <c r="A65" s="79" t="s">
        <v>394</v>
      </c>
      <c r="B65" s="152"/>
      <c r="C65" s="156"/>
      <c r="D65" s="75" t="s">
        <v>565</v>
      </c>
      <c r="E65" s="75" t="s">
        <v>566</v>
      </c>
      <c r="F65" s="97" t="s">
        <v>10</v>
      </c>
      <c r="G65" s="97" t="s">
        <v>10</v>
      </c>
      <c r="H65" s="97" t="s">
        <v>10</v>
      </c>
      <c r="I65" s="97" t="s">
        <v>10</v>
      </c>
      <c r="J65" s="97"/>
      <c r="K65" s="97" t="s">
        <v>10</v>
      </c>
      <c r="L65" s="97" t="s">
        <v>10</v>
      </c>
      <c r="M65" s="98"/>
      <c r="N65" s="97"/>
      <c r="O65" s="163"/>
      <c r="P65" s="150"/>
      <c r="Q65" s="150"/>
      <c r="R65" s="150"/>
      <c r="S65" s="155"/>
      <c r="T65" s="72"/>
      <c r="U65" s="71"/>
      <c r="V65" s="71" t="s">
        <v>362</v>
      </c>
      <c r="W65" s="72"/>
      <c r="X65" s="72"/>
      <c r="Y65" s="80"/>
      <c r="Z65" s="80"/>
      <c r="AA65" s="80"/>
      <c r="AB65" s="80"/>
      <c r="AC65" s="80"/>
    </row>
    <row r="69" spans="1:29" ht="15.75" customHeight="1">
      <c r="A69" s="41"/>
    </row>
    <row r="70" spans="1:29" ht="15.75" customHeight="1">
      <c r="A70" s="41"/>
    </row>
    <row r="71" spans="1:29" ht="15.75" customHeight="1">
      <c r="A71" s="41"/>
    </row>
    <row r="72" spans="1:29" ht="15.75" customHeight="1">
      <c r="A72" s="41"/>
    </row>
    <row r="73" spans="1:29" ht="15.75" customHeight="1">
      <c r="A73" s="41"/>
    </row>
    <row r="74" spans="1:29" ht="15.75" customHeight="1">
      <c r="A74" s="41"/>
    </row>
    <row r="75" spans="1:29" ht="15.75" customHeight="1">
      <c r="A75" s="41"/>
    </row>
    <row r="76" spans="1:29" ht="15.75" customHeight="1">
      <c r="A76" s="41"/>
    </row>
    <row r="77" spans="1:29" ht="15.75" customHeight="1">
      <c r="A77" s="41"/>
    </row>
    <row r="78" spans="1:29" ht="15.75" customHeight="1">
      <c r="A78" s="41"/>
    </row>
    <row r="79" spans="1:29" ht="15.75" customHeight="1">
      <c r="A79" s="41"/>
    </row>
    <row r="80" spans="1:29" ht="15.75" customHeight="1">
      <c r="A80" s="41"/>
    </row>
    <row r="81" spans="1:1" ht="15.75" customHeight="1">
      <c r="A81" s="41"/>
    </row>
    <row r="82" spans="1:1" ht="15.75" customHeight="1">
      <c r="A82" s="41"/>
    </row>
    <row r="83" spans="1:1" ht="15.75" customHeight="1">
      <c r="A83" s="41"/>
    </row>
    <row r="84" spans="1:1" ht="15.75" customHeight="1">
      <c r="A84" s="41"/>
    </row>
    <row r="85" spans="1:1" ht="15.75" customHeight="1">
      <c r="A85" s="41"/>
    </row>
    <row r="86" spans="1:1" ht="15.75" customHeight="1">
      <c r="A86" s="41"/>
    </row>
    <row r="87" spans="1:1" ht="15.75" customHeight="1">
      <c r="A87" s="41"/>
    </row>
    <row r="88" spans="1:1" ht="15.75" customHeight="1">
      <c r="A88" s="41"/>
    </row>
    <row r="89" spans="1:1" ht="15.75" customHeight="1">
      <c r="A89" s="41"/>
    </row>
    <row r="90" spans="1:1" ht="15.75" customHeight="1">
      <c r="A90" s="41"/>
    </row>
    <row r="91" spans="1:1" ht="15.75" customHeight="1">
      <c r="A91" s="41"/>
    </row>
    <row r="92" spans="1:1" ht="15.75" customHeight="1">
      <c r="A92" s="41"/>
    </row>
    <row r="93" spans="1:1" ht="15.75" customHeight="1">
      <c r="A93" s="41"/>
    </row>
    <row r="94" spans="1:1" ht="15.75" customHeight="1">
      <c r="A94" s="41"/>
    </row>
    <row r="95" spans="1:1" ht="15.75" customHeight="1">
      <c r="A95" s="41"/>
    </row>
    <row r="96" spans="1:1" ht="15.75" customHeight="1">
      <c r="A96" s="41"/>
    </row>
    <row r="97" spans="1:1" ht="15.75" customHeight="1">
      <c r="A97" s="41"/>
    </row>
    <row r="98" spans="1:1" ht="15.75" customHeight="1">
      <c r="A98" s="41"/>
    </row>
    <row r="99" spans="1:1" ht="15.75" customHeight="1">
      <c r="A99" s="41"/>
    </row>
    <row r="100" spans="1:1" ht="15.75" customHeight="1">
      <c r="A100" s="41"/>
    </row>
    <row r="101" spans="1:1" ht="15.75" customHeight="1">
      <c r="A101" s="41"/>
    </row>
    <row r="102" spans="1:1" ht="15.75" customHeight="1">
      <c r="A102" s="41"/>
    </row>
    <row r="103" spans="1:1" ht="15.75" customHeight="1">
      <c r="A103" s="41"/>
    </row>
    <row r="104" spans="1:1" ht="15.75" customHeight="1">
      <c r="A104" s="41"/>
    </row>
    <row r="105" spans="1:1" ht="15.75" customHeight="1">
      <c r="A105" s="41"/>
    </row>
    <row r="106" spans="1:1" ht="15.75" customHeight="1">
      <c r="A106" s="41"/>
    </row>
    <row r="107" spans="1:1" ht="15.75" customHeight="1">
      <c r="A107" s="41"/>
    </row>
    <row r="108" spans="1:1" ht="15.75" customHeight="1">
      <c r="A108" s="41"/>
    </row>
    <row r="109" spans="1:1" ht="15.75" customHeight="1">
      <c r="A109" s="41"/>
    </row>
    <row r="110" spans="1:1" ht="15.75" customHeight="1">
      <c r="A110" s="41"/>
    </row>
    <row r="111" spans="1:1" ht="15.75" customHeight="1">
      <c r="A111" s="41"/>
    </row>
    <row r="112" spans="1:1" ht="15.75" customHeight="1">
      <c r="A112" s="41"/>
    </row>
    <row r="113" spans="1:1" ht="15.75" customHeight="1">
      <c r="A113" s="41"/>
    </row>
    <row r="114" spans="1:1" ht="15.75" customHeight="1">
      <c r="A114" s="41"/>
    </row>
    <row r="115" spans="1:1" ht="15.75" customHeight="1">
      <c r="A115" s="41"/>
    </row>
    <row r="116" spans="1:1" ht="15.75" customHeight="1">
      <c r="A116" s="41"/>
    </row>
    <row r="117" spans="1:1" ht="15.75" customHeight="1">
      <c r="A117" s="41"/>
    </row>
    <row r="118" spans="1:1" ht="15.75" customHeight="1">
      <c r="A118" s="41"/>
    </row>
    <row r="119" spans="1:1" ht="15.75" customHeight="1">
      <c r="A119" s="41"/>
    </row>
    <row r="120" spans="1:1" ht="15.75" customHeight="1">
      <c r="A120" s="41"/>
    </row>
    <row r="121" spans="1:1" ht="15.75" customHeight="1">
      <c r="A121" s="41"/>
    </row>
    <row r="122" spans="1:1" ht="15.75" customHeight="1">
      <c r="A122" s="41"/>
    </row>
    <row r="123" spans="1:1" ht="15.75" customHeight="1">
      <c r="A123" s="41"/>
    </row>
    <row r="124" spans="1:1" ht="15.75" customHeight="1">
      <c r="A124" s="41"/>
    </row>
    <row r="125" spans="1:1" ht="15.75" customHeight="1">
      <c r="A125" s="41"/>
    </row>
    <row r="126" spans="1:1" ht="15.75" customHeight="1">
      <c r="A126" s="41"/>
    </row>
    <row r="127" spans="1:1" ht="15.75" customHeight="1">
      <c r="A127" s="41"/>
    </row>
    <row r="128" spans="1:1" ht="15.75" customHeight="1">
      <c r="A128" s="41"/>
    </row>
    <row r="129" spans="1:1" ht="15.75" customHeight="1">
      <c r="A129" s="41"/>
    </row>
    <row r="130" spans="1:1" ht="15.75" customHeight="1">
      <c r="A130" s="41"/>
    </row>
    <row r="131" spans="1:1" ht="15.75" customHeight="1">
      <c r="A131" s="41"/>
    </row>
    <row r="132" spans="1:1" ht="15.75" customHeight="1">
      <c r="A132" s="41"/>
    </row>
    <row r="133" spans="1:1" ht="15.75" customHeight="1">
      <c r="A133" s="41"/>
    </row>
    <row r="134" spans="1:1" ht="15.75" customHeight="1">
      <c r="A134" s="41"/>
    </row>
    <row r="135" spans="1:1" ht="15.75" customHeight="1">
      <c r="A135" s="41"/>
    </row>
    <row r="136" spans="1:1" ht="15.75" customHeight="1">
      <c r="A136" s="41"/>
    </row>
    <row r="137" spans="1:1" ht="15.75" customHeight="1">
      <c r="A137" s="41"/>
    </row>
    <row r="138" spans="1:1" ht="15.75" customHeight="1">
      <c r="A138" s="41"/>
    </row>
    <row r="139" spans="1:1" ht="15.75" customHeight="1">
      <c r="A139" s="41"/>
    </row>
    <row r="140" spans="1:1" ht="15.75" customHeight="1">
      <c r="A140" s="41"/>
    </row>
    <row r="141" spans="1:1" ht="15.75" customHeight="1">
      <c r="A141" s="41"/>
    </row>
    <row r="142" spans="1:1" ht="15.75" customHeight="1">
      <c r="A142" s="41"/>
    </row>
    <row r="143" spans="1:1" ht="15.75" customHeight="1">
      <c r="A143" s="41"/>
    </row>
    <row r="144" spans="1:1" ht="15.75" customHeight="1">
      <c r="A144" s="41"/>
    </row>
    <row r="145" spans="1:1" ht="15.75" customHeight="1">
      <c r="A145" s="41"/>
    </row>
    <row r="146" spans="1:1" ht="15.75" customHeight="1">
      <c r="A146" s="41"/>
    </row>
    <row r="147" spans="1:1" ht="15.75" customHeight="1">
      <c r="A147" s="41"/>
    </row>
    <row r="148" spans="1:1" ht="15.75" customHeight="1">
      <c r="A148" s="41"/>
    </row>
    <row r="149" spans="1:1" ht="15.75" customHeight="1">
      <c r="A149" s="41"/>
    </row>
    <row r="150" spans="1:1" ht="15.75" customHeight="1">
      <c r="A150" s="41"/>
    </row>
    <row r="151" spans="1:1" ht="15.75" customHeight="1">
      <c r="A151" s="41"/>
    </row>
    <row r="152" spans="1:1" ht="15.75" customHeight="1">
      <c r="A152" s="41"/>
    </row>
    <row r="153" spans="1:1" ht="15.75" customHeight="1">
      <c r="A153" s="41"/>
    </row>
    <row r="154" spans="1:1" ht="15.75" customHeight="1">
      <c r="A154" s="41"/>
    </row>
    <row r="155" spans="1:1" ht="15.75" customHeight="1">
      <c r="A155" s="41"/>
    </row>
    <row r="156" spans="1:1" ht="15.75" customHeight="1">
      <c r="A156" s="41"/>
    </row>
    <row r="157" spans="1:1" ht="15.75" customHeight="1">
      <c r="A157" s="41"/>
    </row>
    <row r="158" spans="1:1" ht="15.75" customHeight="1">
      <c r="A158" s="41"/>
    </row>
    <row r="159" spans="1:1" ht="15.75" customHeight="1">
      <c r="A159" s="41"/>
    </row>
    <row r="160" spans="1:1" ht="15.75" customHeight="1">
      <c r="A160" s="41"/>
    </row>
    <row r="161" spans="1:1" ht="15.75" customHeight="1">
      <c r="A161" s="41"/>
    </row>
    <row r="162" spans="1:1" ht="15.75" customHeight="1">
      <c r="A162" s="41"/>
    </row>
    <row r="163" spans="1:1" ht="15.75" customHeight="1">
      <c r="A163" s="41"/>
    </row>
    <row r="164" spans="1:1" ht="15.75" customHeight="1">
      <c r="A164" s="41"/>
    </row>
    <row r="165" spans="1:1" ht="15.75" customHeight="1">
      <c r="A165" s="41"/>
    </row>
    <row r="166" spans="1:1" ht="15.75" customHeight="1">
      <c r="A166" s="41"/>
    </row>
    <row r="167" spans="1:1" ht="15.75" customHeight="1">
      <c r="A167" s="41"/>
    </row>
    <row r="168" spans="1:1" ht="15.75" customHeight="1">
      <c r="A168" s="41"/>
    </row>
    <row r="169" spans="1:1" ht="15.75" customHeight="1">
      <c r="A169" s="41"/>
    </row>
    <row r="170" spans="1:1" ht="15.75" customHeight="1">
      <c r="A170" s="41"/>
    </row>
    <row r="171" spans="1:1" ht="15.75" customHeight="1">
      <c r="A171" s="41"/>
    </row>
    <row r="172" spans="1:1" ht="15.75" customHeight="1">
      <c r="A172" s="41"/>
    </row>
    <row r="173" spans="1:1" ht="15.75" customHeight="1">
      <c r="A173" s="41"/>
    </row>
    <row r="174" spans="1:1" ht="15.75" customHeight="1">
      <c r="A174" s="41"/>
    </row>
    <row r="175" spans="1:1" ht="15.75" customHeight="1">
      <c r="A175" s="41"/>
    </row>
    <row r="176" spans="1:1" ht="15.75" customHeight="1">
      <c r="A176" s="41"/>
    </row>
    <row r="177" spans="1:1" ht="15.75" customHeight="1">
      <c r="A177" s="41"/>
    </row>
    <row r="178" spans="1:1" ht="15.75" customHeight="1">
      <c r="A178" s="41"/>
    </row>
    <row r="179" spans="1:1" ht="15.75" customHeight="1">
      <c r="A179" s="41"/>
    </row>
    <row r="180" spans="1:1" ht="15.75" customHeight="1">
      <c r="A180" s="41"/>
    </row>
    <row r="181" spans="1:1" ht="15.75" customHeight="1">
      <c r="A181" s="41"/>
    </row>
    <row r="182" spans="1:1" ht="15.75" customHeight="1">
      <c r="A182" s="41"/>
    </row>
    <row r="183" spans="1:1" ht="15.75" customHeight="1">
      <c r="A183" s="41"/>
    </row>
    <row r="184" spans="1:1" ht="15.75" customHeight="1">
      <c r="A184" s="41"/>
    </row>
    <row r="185" spans="1:1" ht="15.75" customHeight="1">
      <c r="A185" s="41"/>
    </row>
    <row r="186" spans="1:1" ht="15.75" customHeight="1">
      <c r="A186" s="41"/>
    </row>
    <row r="187" spans="1:1" ht="15.75" customHeight="1">
      <c r="A187" s="41"/>
    </row>
    <row r="188" spans="1:1" ht="15.75" customHeight="1">
      <c r="A188" s="41"/>
    </row>
    <row r="189" spans="1:1" ht="15.75" customHeight="1">
      <c r="A189" s="41"/>
    </row>
    <row r="190" spans="1:1" ht="15.75" customHeight="1">
      <c r="A190" s="41"/>
    </row>
    <row r="191" spans="1:1" ht="15.75" customHeight="1">
      <c r="A191" s="41"/>
    </row>
    <row r="192" spans="1:1" ht="15.75" customHeight="1">
      <c r="A192" s="41"/>
    </row>
    <row r="193" spans="1:1" ht="15.75" customHeight="1">
      <c r="A193" s="41"/>
    </row>
    <row r="194" spans="1:1" ht="15.75" customHeight="1">
      <c r="A194" s="41"/>
    </row>
    <row r="195" spans="1:1" ht="15.75" customHeight="1">
      <c r="A195" s="41"/>
    </row>
    <row r="196" spans="1:1" ht="15.75" customHeight="1">
      <c r="A196" s="41"/>
    </row>
    <row r="197" spans="1:1" ht="15.75" customHeight="1">
      <c r="A197" s="41"/>
    </row>
    <row r="198" spans="1:1" ht="15.75" customHeight="1">
      <c r="A198" s="41"/>
    </row>
    <row r="199" spans="1:1" ht="15.75" customHeight="1">
      <c r="A199" s="41"/>
    </row>
    <row r="200" spans="1:1" ht="15.75" customHeight="1">
      <c r="A200" s="41"/>
    </row>
    <row r="201" spans="1:1" ht="15.75" customHeight="1">
      <c r="A201" s="41"/>
    </row>
    <row r="202" spans="1:1" ht="15.75" customHeight="1">
      <c r="A202" s="41"/>
    </row>
    <row r="203" spans="1:1" ht="15.75" customHeight="1">
      <c r="A203" s="41"/>
    </row>
    <row r="204" spans="1:1" ht="15.75" customHeight="1">
      <c r="A204" s="41"/>
    </row>
    <row r="205" spans="1:1" ht="15.75" customHeight="1">
      <c r="A205" s="41"/>
    </row>
    <row r="206" spans="1:1" ht="15.75" customHeight="1">
      <c r="A206" s="41"/>
    </row>
    <row r="207" spans="1:1" ht="15.75" customHeight="1">
      <c r="A207" s="41"/>
    </row>
    <row r="208" spans="1:1" ht="15.75" customHeight="1">
      <c r="A208" s="41"/>
    </row>
    <row r="209" spans="1:1" ht="15.75" customHeight="1">
      <c r="A209" s="41"/>
    </row>
    <row r="210" spans="1:1" ht="15.75" customHeight="1">
      <c r="A210" s="41"/>
    </row>
    <row r="211" spans="1:1" ht="15.75" customHeight="1">
      <c r="A211" s="41"/>
    </row>
    <row r="212" spans="1:1" ht="15.75" customHeight="1">
      <c r="A212" s="41"/>
    </row>
    <row r="213" spans="1:1" ht="15.75" customHeight="1">
      <c r="A213" s="41"/>
    </row>
    <row r="214" spans="1:1" ht="15.75" customHeight="1">
      <c r="A214" s="41"/>
    </row>
    <row r="215" spans="1:1" ht="15.75" customHeight="1">
      <c r="A215" s="41"/>
    </row>
    <row r="216" spans="1:1" ht="15.75" customHeight="1">
      <c r="A216" s="41"/>
    </row>
    <row r="217" spans="1:1" ht="15.75" customHeight="1">
      <c r="A217" s="41"/>
    </row>
    <row r="218" spans="1:1" ht="15.75" customHeight="1">
      <c r="A218" s="41"/>
    </row>
    <row r="219" spans="1:1" ht="15.75" customHeight="1">
      <c r="A219" s="41"/>
    </row>
    <row r="220" spans="1:1" ht="15.75" customHeight="1">
      <c r="A220" s="41"/>
    </row>
    <row r="221" spans="1:1" ht="15.75" customHeight="1">
      <c r="A221" s="41"/>
    </row>
    <row r="222" spans="1:1" ht="15.75" customHeight="1">
      <c r="A222" s="41"/>
    </row>
    <row r="223" spans="1:1" ht="15.75" customHeight="1">
      <c r="A223" s="41"/>
    </row>
    <row r="224" spans="1:1" ht="15.75" customHeight="1">
      <c r="A224" s="41"/>
    </row>
    <row r="225" spans="1:1" ht="15.75" customHeight="1">
      <c r="A225" s="41"/>
    </row>
    <row r="226" spans="1:1" ht="15.75" customHeight="1">
      <c r="A226" s="41"/>
    </row>
    <row r="227" spans="1:1" ht="15.75" customHeight="1">
      <c r="A227" s="41"/>
    </row>
    <row r="228" spans="1:1" ht="15.75" customHeight="1">
      <c r="A228" s="41"/>
    </row>
    <row r="229" spans="1:1" ht="15.75" customHeight="1">
      <c r="A229" s="41"/>
    </row>
    <row r="230" spans="1:1" ht="15.75" customHeight="1">
      <c r="A230" s="41"/>
    </row>
    <row r="231" spans="1:1" ht="15.75" customHeight="1">
      <c r="A231" s="41"/>
    </row>
    <row r="232" spans="1:1" ht="15.75" customHeight="1">
      <c r="A232" s="41"/>
    </row>
    <row r="233" spans="1:1" ht="15.75" customHeight="1">
      <c r="A233" s="41"/>
    </row>
    <row r="234" spans="1:1" ht="15.75" customHeight="1">
      <c r="A234" s="41"/>
    </row>
    <row r="235" spans="1:1" ht="15.75" customHeight="1">
      <c r="A235" s="41"/>
    </row>
    <row r="236" spans="1:1" ht="15.75" customHeight="1">
      <c r="A236" s="41"/>
    </row>
    <row r="237" spans="1:1" ht="15.75" customHeight="1">
      <c r="A237" s="41"/>
    </row>
    <row r="238" spans="1:1" ht="15.75" customHeight="1">
      <c r="A238" s="41"/>
    </row>
    <row r="239" spans="1:1" ht="15.75" customHeight="1">
      <c r="A239" s="41"/>
    </row>
    <row r="240" spans="1:1" ht="15.75" customHeight="1">
      <c r="A240" s="41"/>
    </row>
    <row r="241" spans="1:1" ht="15.75" customHeight="1">
      <c r="A241" s="41"/>
    </row>
    <row r="242" spans="1:1" ht="15.75" customHeight="1">
      <c r="A242" s="41"/>
    </row>
    <row r="243" spans="1:1" ht="15.75" customHeight="1">
      <c r="A243" s="41"/>
    </row>
    <row r="244" spans="1:1" ht="15.75" customHeight="1">
      <c r="A244" s="41"/>
    </row>
    <row r="245" spans="1:1" ht="15.75" customHeight="1">
      <c r="A245" s="41"/>
    </row>
    <row r="246" spans="1:1" ht="15.75" customHeight="1">
      <c r="A246" s="41"/>
    </row>
    <row r="247" spans="1:1" ht="15.75" customHeight="1">
      <c r="A247" s="41"/>
    </row>
    <row r="248" spans="1:1" ht="15.75" customHeight="1">
      <c r="A248" s="41"/>
    </row>
    <row r="249" spans="1:1" ht="15.75" customHeight="1">
      <c r="A249" s="41"/>
    </row>
    <row r="250" spans="1:1" ht="15.75" customHeight="1">
      <c r="A250" s="41"/>
    </row>
    <row r="251" spans="1:1" ht="15.75" customHeight="1">
      <c r="A251" s="41"/>
    </row>
    <row r="252" spans="1:1" ht="15.75" customHeight="1">
      <c r="A252" s="41"/>
    </row>
    <row r="253" spans="1:1" ht="15.75" customHeight="1">
      <c r="A253" s="41"/>
    </row>
    <row r="254" spans="1:1" ht="15.75" customHeight="1">
      <c r="A254" s="41"/>
    </row>
    <row r="255" spans="1:1" ht="15.75" customHeight="1">
      <c r="A255" s="41"/>
    </row>
    <row r="256" spans="1:1" ht="15.75" customHeight="1">
      <c r="A256" s="41"/>
    </row>
    <row r="257" spans="1:1" ht="15.75" customHeight="1">
      <c r="A257" s="41"/>
    </row>
    <row r="258" spans="1:1" ht="15.75" customHeight="1">
      <c r="A258" s="41"/>
    </row>
    <row r="259" spans="1:1" ht="15.75" customHeight="1">
      <c r="A259" s="41"/>
    </row>
    <row r="260" spans="1:1" ht="15.75" customHeight="1">
      <c r="A260" s="41"/>
    </row>
    <row r="261" spans="1:1" ht="15.75" customHeight="1">
      <c r="A261" s="41"/>
    </row>
    <row r="262" spans="1:1" ht="15.75" customHeight="1">
      <c r="A262" s="41"/>
    </row>
    <row r="263" spans="1:1" ht="15.75" customHeight="1">
      <c r="A263" s="41"/>
    </row>
    <row r="264" spans="1:1" ht="15.75" customHeight="1">
      <c r="A264" s="41"/>
    </row>
    <row r="265" spans="1:1" ht="15.75" customHeight="1">
      <c r="A265" s="41"/>
    </row>
    <row r="266" spans="1:1" ht="15.75" customHeight="1">
      <c r="A266" s="41"/>
    </row>
    <row r="267" spans="1:1" ht="15.75" customHeight="1">
      <c r="A267" s="41"/>
    </row>
    <row r="268" spans="1:1" ht="15.75" customHeight="1">
      <c r="A268" s="41"/>
    </row>
    <row r="269" spans="1:1" ht="15.75" customHeight="1">
      <c r="A269" s="41"/>
    </row>
    <row r="270" spans="1:1" ht="15.75" customHeight="1">
      <c r="A270" s="41"/>
    </row>
    <row r="271" spans="1:1" ht="15.75" customHeight="1">
      <c r="A271" s="41"/>
    </row>
    <row r="272" spans="1:1" ht="15.75" customHeight="1">
      <c r="A272" s="41"/>
    </row>
    <row r="273" spans="1:1" ht="15.75" customHeight="1">
      <c r="A273" s="41"/>
    </row>
    <row r="274" spans="1:1" ht="15.75" customHeight="1">
      <c r="A274" s="41"/>
    </row>
    <row r="275" spans="1:1" ht="15.75" customHeight="1">
      <c r="A275" s="41"/>
    </row>
    <row r="276" spans="1:1" ht="15.75" customHeight="1">
      <c r="A276" s="41"/>
    </row>
    <row r="277" spans="1:1" ht="15.75" customHeight="1">
      <c r="A277" s="41"/>
    </row>
    <row r="278" spans="1:1" ht="15.75" customHeight="1">
      <c r="A278" s="41"/>
    </row>
    <row r="279" spans="1:1" ht="15.75" customHeight="1">
      <c r="A279" s="41"/>
    </row>
    <row r="280" spans="1:1" ht="15.75" customHeight="1">
      <c r="A280" s="41"/>
    </row>
    <row r="281" spans="1:1" ht="15.75" customHeight="1">
      <c r="A281" s="41"/>
    </row>
    <row r="282" spans="1:1" ht="15.75" customHeight="1">
      <c r="A282" s="41"/>
    </row>
    <row r="283" spans="1:1" ht="15.75" customHeight="1">
      <c r="A283" s="41"/>
    </row>
    <row r="284" spans="1:1" ht="15.75" customHeight="1">
      <c r="A284" s="41"/>
    </row>
    <row r="285" spans="1:1" ht="15.75" customHeight="1">
      <c r="A285" s="41"/>
    </row>
    <row r="286" spans="1:1" ht="15.75" customHeight="1">
      <c r="A286" s="41"/>
    </row>
    <row r="287" spans="1:1" ht="15.75" customHeight="1">
      <c r="A287" s="41"/>
    </row>
    <row r="288" spans="1:1" ht="15.75" customHeight="1">
      <c r="A288" s="41"/>
    </row>
    <row r="289" spans="1:1" ht="15.75" customHeight="1">
      <c r="A289" s="41"/>
    </row>
    <row r="290" spans="1:1" ht="15.75" customHeight="1">
      <c r="A290" s="41"/>
    </row>
    <row r="291" spans="1:1" ht="15.75" customHeight="1">
      <c r="A291" s="41"/>
    </row>
    <row r="292" spans="1:1" ht="15.75" customHeight="1">
      <c r="A292" s="41"/>
    </row>
    <row r="293" spans="1:1" ht="15.75" customHeight="1">
      <c r="A293" s="41"/>
    </row>
    <row r="294" spans="1:1" ht="15.75" customHeight="1">
      <c r="A294" s="41"/>
    </row>
    <row r="295" spans="1:1" ht="15.75" customHeight="1">
      <c r="A295" s="41"/>
    </row>
    <row r="296" spans="1:1" ht="15.75" customHeight="1">
      <c r="A296" s="41"/>
    </row>
    <row r="297" spans="1:1" ht="15.75" customHeight="1">
      <c r="A297" s="41"/>
    </row>
    <row r="298" spans="1:1" ht="15.75" customHeight="1">
      <c r="A298" s="41"/>
    </row>
    <row r="299" spans="1:1" ht="15.75" customHeight="1">
      <c r="A299" s="41"/>
    </row>
    <row r="300" spans="1:1" ht="15.75" customHeight="1">
      <c r="A300" s="41"/>
    </row>
    <row r="301" spans="1:1" ht="15.75" customHeight="1">
      <c r="A301" s="41"/>
    </row>
    <row r="302" spans="1:1" ht="15.75" customHeight="1">
      <c r="A302" s="41"/>
    </row>
    <row r="303" spans="1:1" ht="15.75" customHeight="1">
      <c r="A303" s="41"/>
    </row>
    <row r="304" spans="1:1" ht="15.75" customHeight="1">
      <c r="A304" s="41"/>
    </row>
    <row r="305" spans="1:1" ht="15.75" customHeight="1">
      <c r="A305" s="41"/>
    </row>
    <row r="306" spans="1:1" ht="15.75" customHeight="1">
      <c r="A306" s="41"/>
    </row>
    <row r="307" spans="1:1" ht="15.75" customHeight="1">
      <c r="A307" s="41"/>
    </row>
    <row r="308" spans="1:1" ht="15.75" customHeight="1">
      <c r="A308" s="41"/>
    </row>
    <row r="309" spans="1:1" ht="15.75" customHeight="1">
      <c r="A309" s="41"/>
    </row>
    <row r="310" spans="1:1" ht="15.75" customHeight="1">
      <c r="A310" s="41"/>
    </row>
    <row r="311" spans="1:1" ht="15.75" customHeight="1">
      <c r="A311" s="41"/>
    </row>
    <row r="312" spans="1:1" ht="15.75" customHeight="1">
      <c r="A312" s="41"/>
    </row>
    <row r="313" spans="1:1" ht="15.75" customHeight="1">
      <c r="A313" s="41"/>
    </row>
    <row r="314" spans="1:1" ht="15.75" customHeight="1">
      <c r="A314" s="41"/>
    </row>
    <row r="315" spans="1:1" ht="15.75" customHeight="1">
      <c r="A315" s="41"/>
    </row>
    <row r="316" spans="1:1" ht="15.75" customHeight="1">
      <c r="A316" s="41"/>
    </row>
    <row r="317" spans="1:1" ht="15.75" customHeight="1">
      <c r="A317" s="41"/>
    </row>
    <row r="318" spans="1:1" ht="15.75" customHeight="1">
      <c r="A318" s="41"/>
    </row>
    <row r="319" spans="1:1" ht="15.75" customHeight="1">
      <c r="A319" s="41"/>
    </row>
    <row r="320" spans="1:1" ht="15.75" customHeight="1">
      <c r="A320" s="41"/>
    </row>
    <row r="321" spans="1:1" ht="15.75" customHeight="1">
      <c r="A321" s="41"/>
    </row>
    <row r="322" spans="1:1" ht="15.75" customHeight="1">
      <c r="A322" s="41"/>
    </row>
    <row r="323" spans="1:1" ht="15.75" customHeight="1">
      <c r="A323" s="41"/>
    </row>
    <row r="324" spans="1:1" ht="15.75" customHeight="1">
      <c r="A324" s="41"/>
    </row>
    <row r="325" spans="1:1" ht="15.75" customHeight="1">
      <c r="A325" s="41"/>
    </row>
    <row r="326" spans="1:1" ht="15.75" customHeight="1">
      <c r="A326" s="41"/>
    </row>
    <row r="327" spans="1:1" ht="15.75" customHeight="1">
      <c r="A327" s="41"/>
    </row>
    <row r="328" spans="1:1" ht="15.75" customHeight="1">
      <c r="A328" s="41"/>
    </row>
    <row r="329" spans="1:1" ht="15.75" customHeight="1">
      <c r="A329" s="41"/>
    </row>
    <row r="330" spans="1:1" ht="15.75" customHeight="1">
      <c r="A330" s="41"/>
    </row>
    <row r="331" spans="1:1" ht="15.75" customHeight="1">
      <c r="A331" s="41"/>
    </row>
    <row r="332" spans="1:1" ht="15.75" customHeight="1">
      <c r="A332" s="41"/>
    </row>
    <row r="333" spans="1:1" ht="15.75" customHeight="1">
      <c r="A333" s="41"/>
    </row>
    <row r="334" spans="1:1" ht="15.75" customHeight="1">
      <c r="A334" s="41"/>
    </row>
    <row r="335" spans="1:1" ht="15.75" customHeight="1">
      <c r="A335" s="41"/>
    </row>
    <row r="336" spans="1:1" ht="15.75" customHeight="1">
      <c r="A336" s="41"/>
    </row>
    <row r="337" spans="1:1" ht="15.75" customHeight="1">
      <c r="A337" s="41"/>
    </row>
    <row r="338" spans="1:1" ht="15.75" customHeight="1">
      <c r="A338" s="41"/>
    </row>
    <row r="339" spans="1:1" ht="15.75" customHeight="1">
      <c r="A339" s="41"/>
    </row>
    <row r="340" spans="1:1" ht="15.75" customHeight="1">
      <c r="A340" s="41"/>
    </row>
    <row r="341" spans="1:1" ht="15.75" customHeight="1">
      <c r="A341" s="41"/>
    </row>
    <row r="342" spans="1:1" ht="15.75" customHeight="1">
      <c r="A342" s="41"/>
    </row>
    <row r="343" spans="1:1" ht="15.75" customHeight="1">
      <c r="A343" s="41"/>
    </row>
    <row r="344" spans="1:1" ht="15.75" customHeight="1">
      <c r="A344" s="41"/>
    </row>
    <row r="345" spans="1:1" ht="15.75" customHeight="1">
      <c r="A345" s="41"/>
    </row>
    <row r="346" spans="1:1" ht="15.75" customHeight="1">
      <c r="A346" s="41"/>
    </row>
    <row r="347" spans="1:1" ht="15.75" customHeight="1">
      <c r="A347" s="41"/>
    </row>
    <row r="348" spans="1:1" ht="15.75" customHeight="1">
      <c r="A348" s="41"/>
    </row>
    <row r="349" spans="1:1" ht="15.75" customHeight="1">
      <c r="A349" s="41"/>
    </row>
    <row r="350" spans="1:1" ht="15.75" customHeight="1">
      <c r="A350" s="41"/>
    </row>
    <row r="351" spans="1:1" ht="15.75" customHeight="1">
      <c r="A351" s="41"/>
    </row>
    <row r="352" spans="1:1" ht="15.75" customHeight="1">
      <c r="A352" s="41"/>
    </row>
    <row r="353" spans="1:1" ht="15.75" customHeight="1">
      <c r="A353" s="41"/>
    </row>
    <row r="354" spans="1:1" ht="15.75" customHeight="1">
      <c r="A354" s="41"/>
    </row>
    <row r="355" spans="1:1" ht="15.75" customHeight="1">
      <c r="A355" s="41"/>
    </row>
    <row r="356" spans="1:1" ht="15.75" customHeight="1">
      <c r="A356" s="41"/>
    </row>
    <row r="357" spans="1:1" ht="15.75" customHeight="1">
      <c r="A357" s="41"/>
    </row>
    <row r="358" spans="1:1" ht="15.75" customHeight="1">
      <c r="A358" s="41"/>
    </row>
    <row r="359" spans="1:1" ht="15.75" customHeight="1">
      <c r="A359" s="41"/>
    </row>
    <row r="360" spans="1:1" ht="15.75" customHeight="1">
      <c r="A360" s="41"/>
    </row>
    <row r="361" spans="1:1" ht="15.75" customHeight="1">
      <c r="A361" s="41"/>
    </row>
    <row r="362" spans="1:1" ht="15.75" customHeight="1">
      <c r="A362" s="41"/>
    </row>
    <row r="363" spans="1:1" ht="15.75" customHeight="1">
      <c r="A363" s="41"/>
    </row>
    <row r="364" spans="1:1" ht="15.75" customHeight="1">
      <c r="A364" s="41"/>
    </row>
    <row r="365" spans="1:1" ht="15.75" customHeight="1">
      <c r="A365" s="41"/>
    </row>
    <row r="366" spans="1:1" ht="15.75" customHeight="1">
      <c r="A366" s="41"/>
    </row>
    <row r="367" spans="1:1" ht="15.75" customHeight="1">
      <c r="A367" s="41"/>
    </row>
    <row r="368" spans="1:1" ht="15.75" customHeight="1">
      <c r="A368" s="41"/>
    </row>
    <row r="369" spans="1:1" ht="15.75" customHeight="1">
      <c r="A369" s="41"/>
    </row>
    <row r="370" spans="1:1" ht="15.75" customHeight="1">
      <c r="A370" s="41"/>
    </row>
    <row r="371" spans="1:1" ht="15.75" customHeight="1">
      <c r="A371" s="41"/>
    </row>
    <row r="372" spans="1:1" ht="15.75" customHeight="1">
      <c r="A372" s="41"/>
    </row>
    <row r="373" spans="1:1" ht="15.75" customHeight="1">
      <c r="A373" s="41"/>
    </row>
    <row r="374" spans="1:1" ht="15.75" customHeight="1">
      <c r="A374" s="41"/>
    </row>
    <row r="375" spans="1:1" ht="15.75" customHeight="1">
      <c r="A375" s="41"/>
    </row>
    <row r="376" spans="1:1" ht="15.75" customHeight="1">
      <c r="A376" s="41"/>
    </row>
    <row r="377" spans="1:1" ht="15.75" customHeight="1">
      <c r="A377" s="41"/>
    </row>
    <row r="378" spans="1:1" ht="15.75" customHeight="1">
      <c r="A378" s="41"/>
    </row>
    <row r="379" spans="1:1" ht="15.75" customHeight="1">
      <c r="A379" s="41"/>
    </row>
    <row r="380" spans="1:1" ht="15.75" customHeight="1">
      <c r="A380" s="41"/>
    </row>
    <row r="381" spans="1:1" ht="15.75" customHeight="1">
      <c r="A381" s="41"/>
    </row>
    <row r="382" spans="1:1" ht="15.75" customHeight="1">
      <c r="A382" s="41"/>
    </row>
    <row r="383" spans="1:1" ht="15.75" customHeight="1">
      <c r="A383" s="41"/>
    </row>
    <row r="384" spans="1:1" ht="15.75" customHeight="1">
      <c r="A384" s="41"/>
    </row>
    <row r="385" spans="1:1" ht="15.75" customHeight="1">
      <c r="A385" s="41"/>
    </row>
    <row r="386" spans="1:1" ht="15.75" customHeight="1">
      <c r="A386" s="41"/>
    </row>
    <row r="387" spans="1:1" ht="15.75" customHeight="1">
      <c r="A387" s="41"/>
    </row>
    <row r="388" spans="1:1" ht="15.75" customHeight="1">
      <c r="A388" s="41"/>
    </row>
    <row r="389" spans="1:1" ht="15.75" customHeight="1">
      <c r="A389" s="41"/>
    </row>
    <row r="390" spans="1:1" ht="15.75" customHeight="1">
      <c r="A390" s="41"/>
    </row>
    <row r="391" spans="1:1" ht="15.75" customHeight="1">
      <c r="A391" s="41"/>
    </row>
    <row r="392" spans="1:1" ht="15.75" customHeight="1">
      <c r="A392" s="41"/>
    </row>
    <row r="393" spans="1:1" ht="15.75" customHeight="1">
      <c r="A393" s="41"/>
    </row>
    <row r="394" spans="1:1" ht="15.75" customHeight="1">
      <c r="A394" s="41"/>
    </row>
    <row r="395" spans="1:1" ht="15.75" customHeight="1">
      <c r="A395" s="41"/>
    </row>
    <row r="396" spans="1:1" ht="15.75" customHeight="1">
      <c r="A396" s="41"/>
    </row>
    <row r="397" spans="1:1" ht="15.75" customHeight="1">
      <c r="A397" s="41"/>
    </row>
    <row r="398" spans="1:1" ht="15.75" customHeight="1">
      <c r="A398" s="41"/>
    </row>
    <row r="399" spans="1:1" ht="15.75" customHeight="1">
      <c r="A399" s="41"/>
    </row>
    <row r="400" spans="1:1" ht="15.75" customHeight="1">
      <c r="A400" s="41"/>
    </row>
    <row r="401" spans="1:1" ht="15.75" customHeight="1">
      <c r="A401" s="41"/>
    </row>
    <row r="402" spans="1:1" ht="15.75" customHeight="1">
      <c r="A402" s="41"/>
    </row>
    <row r="403" spans="1:1" ht="15.75" customHeight="1">
      <c r="A403" s="41"/>
    </row>
    <row r="404" spans="1:1" ht="15.75" customHeight="1">
      <c r="A404" s="41"/>
    </row>
    <row r="405" spans="1:1" ht="15.75" customHeight="1">
      <c r="A405" s="41"/>
    </row>
    <row r="406" spans="1:1" ht="15.75" customHeight="1">
      <c r="A406" s="41"/>
    </row>
    <row r="407" spans="1:1" ht="15.75" customHeight="1">
      <c r="A407" s="41"/>
    </row>
    <row r="408" spans="1:1" ht="15.75" customHeight="1">
      <c r="A408" s="41"/>
    </row>
    <row r="409" spans="1:1" ht="15.75" customHeight="1">
      <c r="A409" s="41"/>
    </row>
    <row r="410" spans="1:1" ht="15.75" customHeight="1">
      <c r="A410" s="41"/>
    </row>
    <row r="411" spans="1:1" ht="15.75" customHeight="1">
      <c r="A411" s="41"/>
    </row>
    <row r="412" spans="1:1" ht="15.75" customHeight="1">
      <c r="A412" s="41"/>
    </row>
    <row r="413" spans="1:1" ht="15.75" customHeight="1">
      <c r="A413" s="41"/>
    </row>
    <row r="414" spans="1:1" ht="15.75" customHeight="1">
      <c r="A414" s="41"/>
    </row>
    <row r="415" spans="1:1" ht="15.75" customHeight="1">
      <c r="A415" s="41"/>
    </row>
    <row r="416" spans="1:1" ht="15.75" customHeight="1">
      <c r="A416" s="41"/>
    </row>
    <row r="417" spans="1:1" ht="15.75" customHeight="1">
      <c r="A417" s="41"/>
    </row>
    <row r="418" spans="1:1" ht="15.75" customHeight="1">
      <c r="A418" s="41"/>
    </row>
    <row r="419" spans="1:1" ht="15.75" customHeight="1">
      <c r="A419" s="41"/>
    </row>
    <row r="420" spans="1:1" ht="15.75" customHeight="1">
      <c r="A420" s="41"/>
    </row>
    <row r="421" spans="1:1" ht="15.75" customHeight="1">
      <c r="A421" s="41"/>
    </row>
    <row r="422" spans="1:1" ht="15.75" customHeight="1">
      <c r="A422" s="41"/>
    </row>
    <row r="423" spans="1:1" ht="15.75" customHeight="1">
      <c r="A423" s="41"/>
    </row>
    <row r="424" spans="1:1" ht="15.75" customHeight="1">
      <c r="A424" s="41"/>
    </row>
    <row r="425" spans="1:1" ht="15.75" customHeight="1">
      <c r="A425" s="41"/>
    </row>
    <row r="426" spans="1:1" ht="15.75" customHeight="1">
      <c r="A426" s="41"/>
    </row>
    <row r="427" spans="1:1" ht="15.75" customHeight="1">
      <c r="A427" s="41"/>
    </row>
    <row r="428" spans="1:1" ht="15.75" customHeight="1">
      <c r="A428" s="41"/>
    </row>
    <row r="429" spans="1:1" ht="15.75" customHeight="1">
      <c r="A429" s="41"/>
    </row>
    <row r="430" spans="1:1" ht="15.75" customHeight="1">
      <c r="A430" s="41"/>
    </row>
    <row r="431" spans="1:1" ht="15.75" customHeight="1">
      <c r="A431" s="41"/>
    </row>
    <row r="432" spans="1:1" ht="15.75" customHeight="1">
      <c r="A432" s="41"/>
    </row>
    <row r="433" spans="1:1" ht="15.75" customHeight="1">
      <c r="A433" s="41"/>
    </row>
    <row r="434" spans="1:1" ht="15.75" customHeight="1">
      <c r="A434" s="41"/>
    </row>
    <row r="435" spans="1:1" ht="15.75" customHeight="1">
      <c r="A435" s="41"/>
    </row>
    <row r="436" spans="1:1" ht="15.75" customHeight="1">
      <c r="A436" s="41"/>
    </row>
    <row r="437" spans="1:1" ht="15.75" customHeight="1">
      <c r="A437" s="41"/>
    </row>
    <row r="438" spans="1:1" ht="15.75" customHeight="1">
      <c r="A438" s="41"/>
    </row>
    <row r="439" spans="1:1" ht="15.75" customHeight="1">
      <c r="A439" s="41"/>
    </row>
    <row r="440" spans="1:1" ht="15.75" customHeight="1">
      <c r="A440" s="41"/>
    </row>
    <row r="441" spans="1:1" ht="15.75" customHeight="1">
      <c r="A441" s="41"/>
    </row>
    <row r="442" spans="1:1" ht="15.75" customHeight="1">
      <c r="A442" s="41"/>
    </row>
    <row r="443" spans="1:1" ht="15.75" customHeight="1">
      <c r="A443" s="41"/>
    </row>
    <row r="444" spans="1:1" ht="15.75" customHeight="1">
      <c r="A444" s="41"/>
    </row>
    <row r="445" spans="1:1" ht="15.75" customHeight="1">
      <c r="A445" s="41"/>
    </row>
    <row r="446" spans="1:1" ht="15.75" customHeight="1">
      <c r="A446" s="41"/>
    </row>
    <row r="447" spans="1:1" ht="15.75" customHeight="1">
      <c r="A447" s="41"/>
    </row>
    <row r="448" spans="1:1" ht="15.75" customHeight="1">
      <c r="A448" s="41"/>
    </row>
    <row r="449" spans="1:1" ht="15.75" customHeight="1">
      <c r="A449" s="41"/>
    </row>
    <row r="450" spans="1:1" ht="15.75" customHeight="1">
      <c r="A450" s="41"/>
    </row>
    <row r="451" spans="1:1" ht="15.75" customHeight="1">
      <c r="A451" s="41"/>
    </row>
    <row r="452" spans="1:1" ht="15.75" customHeight="1">
      <c r="A452" s="41"/>
    </row>
    <row r="453" spans="1:1" ht="15.75" customHeight="1">
      <c r="A453" s="41"/>
    </row>
    <row r="454" spans="1:1" ht="15.75" customHeight="1">
      <c r="A454" s="41"/>
    </row>
    <row r="455" spans="1:1" ht="15.75" customHeight="1">
      <c r="A455" s="41"/>
    </row>
    <row r="456" spans="1:1" ht="15.75" customHeight="1">
      <c r="A456" s="41"/>
    </row>
    <row r="457" spans="1:1" ht="15.75" customHeight="1">
      <c r="A457" s="41"/>
    </row>
    <row r="458" spans="1:1" ht="15.75" customHeight="1">
      <c r="A458" s="41"/>
    </row>
    <row r="459" spans="1:1" ht="15.75" customHeight="1">
      <c r="A459" s="41"/>
    </row>
    <row r="460" spans="1:1" ht="15.75" customHeight="1">
      <c r="A460" s="41"/>
    </row>
    <row r="461" spans="1:1" ht="15.75" customHeight="1">
      <c r="A461" s="41"/>
    </row>
    <row r="462" spans="1:1" ht="15.75" customHeight="1">
      <c r="A462" s="41"/>
    </row>
    <row r="463" spans="1:1" ht="15.75" customHeight="1">
      <c r="A463" s="41"/>
    </row>
    <row r="464" spans="1:1" ht="15.75" customHeight="1">
      <c r="A464" s="41"/>
    </row>
    <row r="465" spans="1:1" ht="15.75" customHeight="1">
      <c r="A465" s="41"/>
    </row>
    <row r="466" spans="1:1" ht="15.75" customHeight="1">
      <c r="A466" s="41"/>
    </row>
    <row r="467" spans="1:1" ht="15.75" customHeight="1">
      <c r="A467" s="41"/>
    </row>
    <row r="468" spans="1:1" ht="15.75" customHeight="1">
      <c r="A468" s="41"/>
    </row>
    <row r="469" spans="1:1" ht="15.75" customHeight="1">
      <c r="A469" s="41"/>
    </row>
    <row r="470" spans="1:1" ht="15.75" customHeight="1">
      <c r="A470" s="41"/>
    </row>
    <row r="471" spans="1:1" ht="15.75" customHeight="1">
      <c r="A471" s="41"/>
    </row>
    <row r="472" spans="1:1" ht="15.75" customHeight="1">
      <c r="A472" s="41"/>
    </row>
    <row r="473" spans="1:1" ht="15.75" customHeight="1">
      <c r="A473" s="41"/>
    </row>
    <row r="474" spans="1:1" ht="15.75" customHeight="1">
      <c r="A474" s="41"/>
    </row>
    <row r="475" spans="1:1" ht="15.75" customHeight="1">
      <c r="A475" s="41"/>
    </row>
    <row r="476" spans="1:1" ht="15.75" customHeight="1">
      <c r="A476" s="41"/>
    </row>
    <row r="477" spans="1:1" ht="15.75" customHeight="1">
      <c r="A477" s="41"/>
    </row>
    <row r="478" spans="1:1" ht="15.75" customHeight="1">
      <c r="A478" s="41"/>
    </row>
    <row r="479" spans="1:1" ht="15.75" customHeight="1">
      <c r="A479" s="41"/>
    </row>
    <row r="480" spans="1:1" ht="15.75" customHeight="1">
      <c r="A480" s="41"/>
    </row>
    <row r="481" spans="1:1" ht="15.75" customHeight="1">
      <c r="A481" s="41"/>
    </row>
    <row r="482" spans="1:1" ht="15.75" customHeight="1">
      <c r="A482" s="41"/>
    </row>
    <row r="483" spans="1:1" ht="15.75" customHeight="1">
      <c r="A483" s="41"/>
    </row>
    <row r="484" spans="1:1" ht="15.75" customHeight="1">
      <c r="A484" s="41"/>
    </row>
    <row r="485" spans="1:1" ht="15.75" customHeight="1">
      <c r="A485" s="41"/>
    </row>
    <row r="486" spans="1:1" ht="15.75" customHeight="1">
      <c r="A486" s="41"/>
    </row>
    <row r="487" spans="1:1" ht="15.75" customHeight="1">
      <c r="A487" s="41"/>
    </row>
    <row r="488" spans="1:1" ht="15.75" customHeight="1">
      <c r="A488" s="41"/>
    </row>
    <row r="489" spans="1:1" ht="15.75" customHeight="1">
      <c r="A489" s="41"/>
    </row>
    <row r="490" spans="1:1" ht="15.75" customHeight="1">
      <c r="A490" s="41"/>
    </row>
    <row r="491" spans="1:1" ht="15.75" customHeight="1">
      <c r="A491" s="41"/>
    </row>
    <row r="492" spans="1:1" ht="15.75" customHeight="1">
      <c r="A492" s="41"/>
    </row>
    <row r="493" spans="1:1" ht="15.75" customHeight="1">
      <c r="A493" s="41"/>
    </row>
    <row r="494" spans="1:1" ht="15.75" customHeight="1">
      <c r="A494" s="41"/>
    </row>
    <row r="495" spans="1:1" ht="15.75" customHeight="1">
      <c r="A495" s="41"/>
    </row>
    <row r="496" spans="1:1" ht="15.75" customHeight="1">
      <c r="A496" s="41"/>
    </row>
    <row r="497" spans="1:1" ht="15.75" customHeight="1">
      <c r="A497" s="41"/>
    </row>
    <row r="498" spans="1:1" ht="15.75" customHeight="1">
      <c r="A498" s="41"/>
    </row>
    <row r="499" spans="1:1" ht="15.75" customHeight="1">
      <c r="A499" s="41"/>
    </row>
    <row r="500" spans="1:1" ht="15.75" customHeight="1">
      <c r="A500" s="41"/>
    </row>
    <row r="501" spans="1:1" ht="15.75" customHeight="1">
      <c r="A501" s="41"/>
    </row>
    <row r="502" spans="1:1" ht="15.75" customHeight="1">
      <c r="A502" s="41"/>
    </row>
    <row r="503" spans="1:1" ht="15.75" customHeight="1">
      <c r="A503" s="41"/>
    </row>
    <row r="504" spans="1:1" ht="15.75" customHeight="1">
      <c r="A504" s="41"/>
    </row>
    <row r="505" spans="1:1" ht="15.75" customHeight="1">
      <c r="A505" s="41"/>
    </row>
    <row r="506" spans="1:1" ht="15.75" customHeight="1">
      <c r="A506" s="41"/>
    </row>
    <row r="507" spans="1:1" ht="15.75" customHeight="1">
      <c r="A507" s="41"/>
    </row>
    <row r="508" spans="1:1" ht="15.75" customHeight="1">
      <c r="A508" s="41"/>
    </row>
    <row r="509" spans="1:1" ht="15.75" customHeight="1">
      <c r="A509" s="41"/>
    </row>
    <row r="510" spans="1:1" ht="15.75" customHeight="1">
      <c r="A510" s="41"/>
    </row>
    <row r="511" spans="1:1" ht="15.75" customHeight="1">
      <c r="A511" s="41"/>
    </row>
    <row r="512" spans="1:1" ht="15.75" customHeight="1">
      <c r="A512" s="41"/>
    </row>
    <row r="513" spans="1:1" ht="15.75" customHeight="1">
      <c r="A513" s="41"/>
    </row>
    <row r="514" spans="1:1" ht="15.75" customHeight="1">
      <c r="A514" s="41"/>
    </row>
    <row r="515" spans="1:1" ht="15.75" customHeight="1">
      <c r="A515" s="41"/>
    </row>
    <row r="516" spans="1:1" ht="15.75" customHeight="1">
      <c r="A516" s="41"/>
    </row>
    <row r="517" spans="1:1" ht="15.75" customHeight="1">
      <c r="A517" s="41"/>
    </row>
    <row r="518" spans="1:1" ht="15.75" customHeight="1">
      <c r="A518" s="41"/>
    </row>
    <row r="519" spans="1:1" ht="15.75" customHeight="1">
      <c r="A519" s="41"/>
    </row>
    <row r="520" spans="1:1" ht="15.75" customHeight="1">
      <c r="A520" s="41"/>
    </row>
    <row r="521" spans="1:1" ht="15.75" customHeight="1">
      <c r="A521" s="41"/>
    </row>
    <row r="522" spans="1:1" ht="15.75" customHeight="1">
      <c r="A522" s="41"/>
    </row>
    <row r="523" spans="1:1" ht="15.75" customHeight="1">
      <c r="A523" s="41"/>
    </row>
    <row r="524" spans="1:1" ht="15.75" customHeight="1">
      <c r="A524" s="41"/>
    </row>
    <row r="525" spans="1:1" ht="15.75" customHeight="1">
      <c r="A525" s="41"/>
    </row>
    <row r="526" spans="1:1" ht="15.75" customHeight="1">
      <c r="A526" s="41"/>
    </row>
    <row r="527" spans="1:1" ht="15.75" customHeight="1">
      <c r="A527" s="41"/>
    </row>
    <row r="528" spans="1:1" ht="15.75" customHeight="1">
      <c r="A528" s="41"/>
    </row>
    <row r="529" spans="1:1" ht="15.75" customHeight="1">
      <c r="A529" s="41"/>
    </row>
    <row r="530" spans="1:1" ht="15.75" customHeight="1">
      <c r="A530" s="41"/>
    </row>
    <row r="531" spans="1:1" ht="15.75" customHeight="1">
      <c r="A531" s="41"/>
    </row>
    <row r="532" spans="1:1" ht="15.75" customHeight="1">
      <c r="A532" s="41"/>
    </row>
    <row r="533" spans="1:1" ht="15.75" customHeight="1">
      <c r="A533" s="41"/>
    </row>
    <row r="534" spans="1:1" ht="15.75" customHeight="1">
      <c r="A534" s="41"/>
    </row>
    <row r="535" spans="1:1" ht="15.75" customHeight="1">
      <c r="A535" s="41"/>
    </row>
    <row r="536" spans="1:1" ht="15.75" customHeight="1">
      <c r="A536" s="41"/>
    </row>
    <row r="537" spans="1:1" ht="15.75" customHeight="1">
      <c r="A537" s="41"/>
    </row>
    <row r="538" spans="1:1" ht="15.75" customHeight="1">
      <c r="A538" s="41"/>
    </row>
    <row r="539" spans="1:1" ht="15.75" customHeight="1">
      <c r="A539" s="41"/>
    </row>
    <row r="540" spans="1:1" ht="15.75" customHeight="1">
      <c r="A540" s="41"/>
    </row>
    <row r="541" spans="1:1" ht="15.75" customHeight="1">
      <c r="A541" s="41"/>
    </row>
    <row r="542" spans="1:1" ht="15.75" customHeight="1">
      <c r="A542" s="41"/>
    </row>
    <row r="543" spans="1:1" ht="15.75" customHeight="1">
      <c r="A543" s="41"/>
    </row>
    <row r="544" spans="1:1" ht="15.75" customHeight="1">
      <c r="A544" s="41"/>
    </row>
    <row r="545" spans="1:1" ht="15.75" customHeight="1">
      <c r="A545" s="41"/>
    </row>
    <row r="546" spans="1:1" ht="15.75" customHeight="1">
      <c r="A546" s="41"/>
    </row>
    <row r="547" spans="1:1" ht="15.75" customHeight="1">
      <c r="A547" s="41"/>
    </row>
    <row r="548" spans="1:1" ht="15.75" customHeight="1">
      <c r="A548" s="41"/>
    </row>
    <row r="549" spans="1:1" ht="15.75" customHeight="1">
      <c r="A549" s="41"/>
    </row>
    <row r="550" spans="1:1" ht="15.75" customHeight="1">
      <c r="A550" s="41"/>
    </row>
    <row r="551" spans="1:1" ht="15.75" customHeight="1">
      <c r="A551" s="41"/>
    </row>
    <row r="552" spans="1:1" ht="15.75" customHeight="1">
      <c r="A552" s="41"/>
    </row>
    <row r="553" spans="1:1" ht="15.75" customHeight="1">
      <c r="A553" s="41"/>
    </row>
    <row r="554" spans="1:1" ht="15.75" customHeight="1">
      <c r="A554" s="41"/>
    </row>
    <row r="555" spans="1:1" ht="15.75" customHeight="1">
      <c r="A555" s="41"/>
    </row>
    <row r="556" spans="1:1" ht="15.75" customHeight="1">
      <c r="A556" s="41"/>
    </row>
    <row r="557" spans="1:1" ht="15.75" customHeight="1">
      <c r="A557" s="41"/>
    </row>
    <row r="558" spans="1:1" ht="15.75" customHeight="1">
      <c r="A558" s="41"/>
    </row>
    <row r="559" spans="1:1" ht="15.75" customHeight="1">
      <c r="A559" s="41"/>
    </row>
    <row r="560" spans="1:1" ht="15.75" customHeight="1">
      <c r="A560" s="41"/>
    </row>
    <row r="561" spans="1:1" ht="15.75" customHeight="1">
      <c r="A561" s="41"/>
    </row>
    <row r="562" spans="1:1" ht="15.75" customHeight="1">
      <c r="A562" s="41"/>
    </row>
    <row r="563" spans="1:1" ht="15.75" customHeight="1">
      <c r="A563" s="41"/>
    </row>
    <row r="564" spans="1:1" ht="15.75" customHeight="1">
      <c r="A564" s="41"/>
    </row>
    <row r="565" spans="1:1" ht="15.75" customHeight="1">
      <c r="A565" s="41"/>
    </row>
    <row r="566" spans="1:1" ht="15.75" customHeight="1">
      <c r="A566" s="41"/>
    </row>
    <row r="567" spans="1:1" ht="15.75" customHeight="1">
      <c r="A567" s="41"/>
    </row>
    <row r="568" spans="1:1" ht="15.75" customHeight="1">
      <c r="A568" s="41"/>
    </row>
    <row r="569" spans="1:1" ht="15.75" customHeight="1">
      <c r="A569" s="41"/>
    </row>
    <row r="570" spans="1:1" ht="15.75" customHeight="1">
      <c r="A570" s="41"/>
    </row>
    <row r="571" spans="1:1" ht="15.75" customHeight="1">
      <c r="A571" s="41"/>
    </row>
    <row r="572" spans="1:1" ht="15.75" customHeight="1">
      <c r="A572" s="41"/>
    </row>
    <row r="573" spans="1:1" ht="15.75" customHeight="1">
      <c r="A573" s="41"/>
    </row>
    <row r="574" spans="1:1" ht="15.75" customHeight="1">
      <c r="A574" s="41"/>
    </row>
    <row r="575" spans="1:1" ht="15.75" customHeight="1">
      <c r="A575" s="41"/>
    </row>
    <row r="576" spans="1:1" ht="15.75" customHeight="1">
      <c r="A576" s="41"/>
    </row>
    <row r="577" spans="1:1" ht="15.75" customHeight="1">
      <c r="A577" s="41"/>
    </row>
    <row r="578" spans="1:1" ht="15.75" customHeight="1">
      <c r="A578" s="41"/>
    </row>
    <row r="579" spans="1:1" ht="15.75" customHeight="1">
      <c r="A579" s="41"/>
    </row>
    <row r="580" spans="1:1" ht="15.75" customHeight="1">
      <c r="A580" s="41"/>
    </row>
    <row r="581" spans="1:1" ht="15.75" customHeight="1">
      <c r="A581" s="41"/>
    </row>
    <row r="582" spans="1:1" ht="15.75" customHeight="1">
      <c r="A582" s="41"/>
    </row>
    <row r="583" spans="1:1" ht="15.75" customHeight="1">
      <c r="A583" s="41"/>
    </row>
    <row r="584" spans="1:1" ht="15.75" customHeight="1">
      <c r="A584" s="41"/>
    </row>
    <row r="585" spans="1:1" ht="15.75" customHeight="1">
      <c r="A585" s="41"/>
    </row>
    <row r="586" spans="1:1" ht="15.75" customHeight="1">
      <c r="A586" s="41"/>
    </row>
    <row r="587" spans="1:1" ht="15.75" customHeight="1">
      <c r="A587" s="41"/>
    </row>
    <row r="588" spans="1:1" ht="15.75" customHeight="1">
      <c r="A588" s="41"/>
    </row>
    <row r="589" spans="1:1" ht="15.75" customHeight="1">
      <c r="A589" s="41"/>
    </row>
    <row r="590" spans="1:1" ht="15.75" customHeight="1">
      <c r="A590" s="41"/>
    </row>
    <row r="591" spans="1:1" ht="15.75" customHeight="1">
      <c r="A591" s="41"/>
    </row>
    <row r="592" spans="1:1" ht="15.75" customHeight="1">
      <c r="A592" s="41"/>
    </row>
    <row r="593" spans="1:1" ht="15.75" customHeight="1">
      <c r="A593" s="41"/>
    </row>
    <row r="594" spans="1:1" ht="15.75" customHeight="1">
      <c r="A594" s="41"/>
    </row>
    <row r="595" spans="1:1" ht="15.75" customHeight="1">
      <c r="A595" s="41"/>
    </row>
    <row r="596" spans="1:1" ht="15.75" customHeight="1">
      <c r="A596" s="41"/>
    </row>
    <row r="597" spans="1:1" ht="15.75" customHeight="1">
      <c r="A597" s="41"/>
    </row>
    <row r="598" spans="1:1" ht="15.75" customHeight="1">
      <c r="A598" s="41"/>
    </row>
    <row r="599" spans="1:1" ht="15.75" customHeight="1">
      <c r="A599" s="41"/>
    </row>
    <row r="600" spans="1:1" ht="15.75" customHeight="1">
      <c r="A600" s="41"/>
    </row>
    <row r="601" spans="1:1" ht="15.75" customHeight="1">
      <c r="A601" s="41"/>
    </row>
    <row r="602" spans="1:1" ht="15.75" customHeight="1">
      <c r="A602" s="41"/>
    </row>
    <row r="603" spans="1:1" ht="15.75" customHeight="1">
      <c r="A603" s="41"/>
    </row>
    <row r="604" spans="1:1" ht="15.75" customHeight="1">
      <c r="A604" s="41"/>
    </row>
    <row r="605" spans="1:1" ht="15.75" customHeight="1">
      <c r="A605" s="41"/>
    </row>
    <row r="606" spans="1:1" ht="15.75" customHeight="1">
      <c r="A606" s="41"/>
    </row>
    <row r="607" spans="1:1" ht="15.75" customHeight="1">
      <c r="A607" s="41"/>
    </row>
  </sheetData>
  <mergeCells count="74">
    <mergeCell ref="O64:S64"/>
    <mergeCell ref="O65:S65"/>
    <mergeCell ref="O41:S41"/>
    <mergeCell ref="O42:S42"/>
    <mergeCell ref="O43:S43"/>
    <mergeCell ref="O44:S44"/>
    <mergeCell ref="O45:S45"/>
    <mergeCell ref="O62:S62"/>
    <mergeCell ref="O57:S57"/>
    <mergeCell ref="O58:S58"/>
    <mergeCell ref="O59:S59"/>
    <mergeCell ref="O60:S60"/>
    <mergeCell ref="O61:S61"/>
    <mergeCell ref="O52:S52"/>
    <mergeCell ref="O36:S36"/>
    <mergeCell ref="O37:S37"/>
    <mergeCell ref="O38:S38"/>
    <mergeCell ref="O39:S39"/>
    <mergeCell ref="O40:S40"/>
    <mergeCell ref="O31:S31"/>
    <mergeCell ref="O32:S32"/>
    <mergeCell ref="O33:S33"/>
    <mergeCell ref="O34:S34"/>
    <mergeCell ref="O35:S35"/>
    <mergeCell ref="C1:D1"/>
    <mergeCell ref="O1:S8"/>
    <mergeCell ref="C2:D2"/>
    <mergeCell ref="C3:D3"/>
    <mergeCell ref="C4:D4"/>
    <mergeCell ref="B10:E10"/>
    <mergeCell ref="O13:S13"/>
    <mergeCell ref="O14:S14"/>
    <mergeCell ref="O15:S15"/>
    <mergeCell ref="B11:B18"/>
    <mergeCell ref="O17:S17"/>
    <mergeCell ref="O18:S18"/>
    <mergeCell ref="O12:S12"/>
    <mergeCell ref="O11:S11"/>
    <mergeCell ref="O9:S9"/>
    <mergeCell ref="O53:S53"/>
    <mergeCell ref="O54:S54"/>
    <mergeCell ref="O55:S55"/>
    <mergeCell ref="O56:S56"/>
    <mergeCell ref="B46:E46"/>
    <mergeCell ref="O49:S49"/>
    <mergeCell ref="O50:S50"/>
    <mergeCell ref="O51:S51"/>
    <mergeCell ref="O47:S47"/>
    <mergeCell ref="O48:S48"/>
    <mergeCell ref="O30:S30"/>
    <mergeCell ref="B1:B5"/>
    <mergeCell ref="B19:E19"/>
    <mergeCell ref="B20:B29"/>
    <mergeCell ref="B30:B41"/>
    <mergeCell ref="O25:S25"/>
    <mergeCell ref="O26:S26"/>
    <mergeCell ref="O27:S27"/>
    <mergeCell ref="O28:S28"/>
    <mergeCell ref="O29:S29"/>
    <mergeCell ref="O20:S20"/>
    <mergeCell ref="O21:S21"/>
    <mergeCell ref="O22:S22"/>
    <mergeCell ref="O23:S23"/>
    <mergeCell ref="O24:S24"/>
    <mergeCell ref="O16:S16"/>
    <mergeCell ref="B43:E43"/>
    <mergeCell ref="B49:B52"/>
    <mergeCell ref="C52:C53"/>
    <mergeCell ref="D53:E53"/>
    <mergeCell ref="B54:B65"/>
    <mergeCell ref="C55:C56"/>
    <mergeCell ref="C57:C59"/>
    <mergeCell ref="C60:C62"/>
    <mergeCell ref="C63:C65"/>
  </mergeCells>
  <dataValidations count="3">
    <dataValidation type="list" allowBlank="1" showErrorMessage="1" sqref="U12:U18 U20:U42 U47:U65" xr:uid="{00000000-0002-0000-0600-000000000000}">
      <formula1>"Done,Planned Next,Maintenance,Draft,Blocked,Not Found"</formula1>
    </dataValidation>
    <dataValidation type="list" allowBlank="1" showErrorMessage="1" sqref="F11:M18 F20:L41 F42:M42 F44:L45 F47:M47 F48:L65" xr:uid="{00000000-0002-0000-0600-000001000000}">
      <formula1>"Pass,Improvement,Fail,N/A,Blocked"</formula1>
    </dataValidation>
    <dataValidation type="list" allowBlank="1" showErrorMessage="1" sqref="V12:V18 V20:V42 V47:V65" xr:uid="{00000000-0002-0000-0600-000002000000}">
      <formula1>"Approved,Request Assertions,No Automation needed,Needs Automation,To adjust for V2"</formula1>
    </dataValidation>
  </dataValidations>
  <hyperlinks>
    <hyperlink ref="T12" r:id="rId1" xr:uid="{00000000-0004-0000-0600-000000000000}"/>
    <hyperlink ref="T13" r:id="rId2" xr:uid="{00000000-0004-0000-0600-000001000000}"/>
    <hyperlink ref="T14" r:id="rId3" xr:uid="{00000000-0004-0000-0600-000002000000}"/>
    <hyperlink ref="T20" r:id="rId4" xr:uid="{00000000-0004-0000-0600-000003000000}"/>
    <hyperlink ref="T21" r:id="rId5" xr:uid="{00000000-0004-0000-0600-000004000000}"/>
    <hyperlink ref="T25" r:id="rId6" xr:uid="{00000000-0004-0000-0600-000005000000}"/>
    <hyperlink ref="T26" r:id="rId7" xr:uid="{00000000-0004-0000-0600-000006000000}"/>
    <hyperlink ref="T27" r:id="rId8" xr:uid="{00000000-0004-0000-0600-000007000000}"/>
    <hyperlink ref="T29" r:id="rId9" xr:uid="{00000000-0004-0000-0600-000008000000}"/>
    <hyperlink ref="T30" r:id="rId10" xr:uid="{00000000-0004-0000-0600-000009000000}"/>
    <hyperlink ref="T31" r:id="rId11" xr:uid="{00000000-0004-0000-0600-00000A000000}"/>
    <hyperlink ref="T42" r:id="rId12" xr:uid="{00000000-0004-0000-0600-00000B000000}"/>
    <hyperlink ref="N47" r:id="rId13" xr:uid="{00000000-0004-0000-0600-00000C000000}"/>
    <hyperlink ref="N48" r:id="rId14" xr:uid="{00000000-0004-0000-0600-00000D000000}"/>
    <hyperlink ref="C51" r:id="rId15" xr:uid="{00000000-0004-0000-0600-00000E000000}"/>
    <hyperlink ref="N54" r:id="rId16" xr:uid="{00000000-0004-0000-0600-00000F000000}"/>
    <hyperlink ref="N58" r:id="rId17" xr:uid="{00000000-0004-0000-0600-00001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outlinePr summaryBelow="0" summaryRight="0"/>
  </sheetPr>
  <dimension ref="A1:Z602"/>
  <sheetViews>
    <sheetView topLeftCell="B1" zoomScale="61" workbookViewId="0">
      <pane ySplit="9" topLeftCell="A10" activePane="bottomLeft" state="frozen"/>
      <selection pane="bottomLeft" activeCell="D13" sqref="D13"/>
    </sheetView>
  </sheetViews>
  <sheetFormatPr defaultColWidth="12.59765625" defaultRowHeight="15" customHeight="1"/>
  <cols>
    <col min="1" max="1" width="4" hidden="1" customWidth="1"/>
    <col min="2" max="2" width="11.1328125" customWidth="1"/>
    <col min="3" max="3" width="26" customWidth="1"/>
    <col min="4" max="4" width="43" customWidth="1"/>
    <col min="5" max="5" width="29.3984375" customWidth="1"/>
    <col min="6" max="6" width="15.59765625" customWidth="1"/>
    <col min="7" max="9" width="12.59765625" hidden="1" customWidth="1"/>
    <col min="11" max="11" width="30.265625" customWidth="1"/>
    <col min="16" max="16" width="18.3984375" hidden="1" customWidth="1"/>
    <col min="17" max="17" width="16" hidden="1" customWidth="1"/>
    <col min="18" max="18" width="23.46484375" hidden="1" customWidth="1"/>
    <col min="19" max="19" width="12.59765625" hidden="1"/>
    <col min="20" max="20" width="42.73046875" hidden="1" customWidth="1"/>
    <col min="21" max="21" width="44.86328125" hidden="1" customWidth="1"/>
  </cols>
  <sheetData>
    <row r="1" spans="1:26" ht="15.75" customHeight="1">
      <c r="A1" s="60"/>
      <c r="B1" s="158" t="s">
        <v>348</v>
      </c>
      <c r="C1" s="169" t="s">
        <v>375</v>
      </c>
      <c r="D1" s="159"/>
      <c r="E1" s="4"/>
      <c r="F1" s="5" t="s">
        <v>4</v>
      </c>
      <c r="G1" s="5" t="s">
        <v>5</v>
      </c>
      <c r="H1" s="5" t="s">
        <v>6</v>
      </c>
      <c r="I1" s="89" t="s">
        <v>382</v>
      </c>
      <c r="K1" s="182" t="s">
        <v>567</v>
      </c>
      <c r="L1" s="159"/>
      <c r="M1" s="159"/>
      <c r="N1" s="159"/>
      <c r="O1" s="159"/>
    </row>
    <row r="2" spans="1:26" ht="15.75" customHeight="1">
      <c r="A2" s="60"/>
      <c r="B2" s="159"/>
      <c r="C2" s="171" t="s">
        <v>568</v>
      </c>
      <c r="D2" s="159"/>
      <c r="E2" s="5" t="s">
        <v>10</v>
      </c>
      <c r="F2" s="6">
        <f>COUNTIF($F$10:F15,$E$2)/$C$7</f>
        <v>1</v>
      </c>
      <c r="G2" s="6">
        <f>COUNTIF($G$10:G15,$E$2)/$C$7</f>
        <v>0</v>
      </c>
      <c r="H2" s="6">
        <f>COUNTIF($H$10:H15,$E$2)/$C$7</f>
        <v>0</v>
      </c>
      <c r="I2" s="6"/>
      <c r="K2" s="159"/>
      <c r="L2" s="159"/>
      <c r="M2" s="159"/>
      <c r="N2" s="159"/>
      <c r="O2" s="159"/>
    </row>
    <row r="3" spans="1:26" ht="15.75" customHeight="1">
      <c r="A3" s="60"/>
      <c r="B3" s="159"/>
      <c r="C3" s="172" t="s">
        <v>569</v>
      </c>
      <c r="D3" s="159"/>
      <c r="E3" s="7" t="s">
        <v>386</v>
      </c>
      <c r="F3" s="6">
        <f>COUNTIF($F$10:F15,$E$3)/$C$7</f>
        <v>0</v>
      </c>
      <c r="G3" s="6">
        <f>COUNTIF($G$10:G15,$E$3)/$C$7</f>
        <v>0</v>
      </c>
      <c r="H3" s="6">
        <f>COUNTIF($H$10:H15,$E$3)/$C$7</f>
        <v>0</v>
      </c>
      <c r="I3" s="6"/>
      <c r="K3" s="159"/>
      <c r="L3" s="159"/>
      <c r="M3" s="159"/>
      <c r="N3" s="159"/>
      <c r="O3" s="159"/>
    </row>
    <row r="4" spans="1:26" ht="15.75" customHeight="1">
      <c r="A4" s="60"/>
      <c r="B4" s="159"/>
      <c r="C4" s="173" t="s">
        <v>570</v>
      </c>
      <c r="D4" s="159"/>
      <c r="E4" s="5" t="s">
        <v>12</v>
      </c>
      <c r="F4" s="6">
        <f>COUNTIF($F$10:F15,$E$4)/$C$7</f>
        <v>0</v>
      </c>
      <c r="G4" s="6">
        <f>COUNTIF($G$10:G15,$E$4)/$C$7</f>
        <v>0</v>
      </c>
      <c r="H4" s="6">
        <f>COUNTIF($H$10:H15,$E$4)/$C$7</f>
        <v>0</v>
      </c>
      <c r="I4" s="6"/>
      <c r="K4" s="159"/>
      <c r="L4" s="159"/>
      <c r="M4" s="159"/>
      <c r="N4" s="159"/>
      <c r="O4" s="159"/>
    </row>
    <row r="5" spans="1:26" ht="15.75" customHeight="1">
      <c r="A5" s="60"/>
      <c r="B5" s="159"/>
      <c r="C5" s="60"/>
      <c r="D5" s="60"/>
      <c r="E5" s="5" t="s">
        <v>13</v>
      </c>
      <c r="F5" s="6">
        <f>COUNTIF($F$10:F15,$E$5)/$C$7</f>
        <v>0</v>
      </c>
      <c r="G5" s="6">
        <f>COUNTIF($G$10:G15,$E$5)/$C$7</f>
        <v>0</v>
      </c>
      <c r="H5" s="6">
        <f>COUNTIF($H$10:H15,$E$5)/$C$7</f>
        <v>0</v>
      </c>
      <c r="I5" s="6"/>
      <c r="J5" s="61"/>
      <c r="K5" s="159"/>
      <c r="L5" s="159"/>
      <c r="M5" s="159"/>
      <c r="N5" s="159"/>
      <c r="O5" s="159"/>
    </row>
    <row r="6" spans="1:26" ht="15.75" customHeight="1">
      <c r="A6" s="60"/>
      <c r="B6" s="60"/>
      <c r="C6" s="60"/>
      <c r="D6" s="60"/>
      <c r="E6" s="5" t="s">
        <v>14</v>
      </c>
      <c r="F6" s="6">
        <f>COUNTIFS($F$11:F15, "", $F$11:F15, "&lt;&gt;N/A", $F$11:F15, "&lt;&gt;.") /$C$7</f>
        <v>0</v>
      </c>
      <c r="G6" s="6">
        <f>COUNTIFS($G$10:G15, "", $G$10:G15, "&lt;&gt;N/A", $G$10:G15, "&lt;&gt;.") /$C$7 + G5</f>
        <v>1.6666666666666667</v>
      </c>
      <c r="H6" s="6">
        <f>COUNTIFS($H$10:H15, "", $H$10:H15, "&lt;&gt;N/A", $H$10:H15, "&lt;&gt;.") /$C$7 + H5</f>
        <v>1.6666666666666667</v>
      </c>
      <c r="I6" s="6"/>
      <c r="K6" s="159"/>
      <c r="L6" s="159"/>
      <c r="M6" s="159"/>
      <c r="N6" s="159"/>
      <c r="O6" s="159"/>
    </row>
    <row r="7" spans="1:26" ht="15.75" customHeight="1">
      <c r="A7" s="60"/>
      <c r="B7" s="86" t="s">
        <v>349</v>
      </c>
      <c r="C7" s="87">
        <f>COUNTIF(A:A,"TC")</f>
        <v>3</v>
      </c>
      <c r="D7" s="60"/>
      <c r="E7" s="7" t="s">
        <v>15</v>
      </c>
      <c r="F7" s="91">
        <f t="shared" ref="F7:H7" si="0">100% - F6</f>
        <v>1</v>
      </c>
      <c r="G7" s="91">
        <f t="shared" si="0"/>
        <v>-0.66666666666666674</v>
      </c>
      <c r="H7" s="91">
        <f t="shared" si="0"/>
        <v>-0.66666666666666674</v>
      </c>
      <c r="I7" s="91"/>
      <c r="J7" s="61"/>
      <c r="K7" s="159"/>
      <c r="L7" s="159"/>
      <c r="M7" s="159"/>
      <c r="N7" s="159"/>
      <c r="O7" s="159"/>
    </row>
    <row r="8" spans="1:26" ht="15.75" customHeight="1">
      <c r="A8" s="60"/>
      <c r="B8" s="60"/>
      <c r="C8" s="60"/>
      <c r="D8" s="60"/>
      <c r="E8" s="92"/>
      <c r="F8" s="92"/>
      <c r="G8" s="92"/>
      <c r="H8" s="92"/>
      <c r="I8" s="92"/>
      <c r="J8" s="61"/>
      <c r="K8" s="159"/>
      <c r="L8" s="159"/>
      <c r="M8" s="159"/>
      <c r="N8" s="159"/>
      <c r="O8" s="159"/>
    </row>
    <row r="9" spans="1:26" ht="15.75" customHeight="1">
      <c r="A9" s="4" t="s">
        <v>388</v>
      </c>
      <c r="B9" s="62" t="s">
        <v>350</v>
      </c>
      <c r="C9" s="62" t="s">
        <v>351</v>
      </c>
      <c r="D9" s="62" t="s">
        <v>352</v>
      </c>
      <c r="E9" s="63" t="s">
        <v>353</v>
      </c>
      <c r="F9" s="63" t="s">
        <v>389</v>
      </c>
      <c r="G9" s="63" t="s">
        <v>389</v>
      </c>
      <c r="H9" s="63" t="s">
        <v>389</v>
      </c>
      <c r="I9" s="63" t="s">
        <v>389</v>
      </c>
      <c r="J9" s="63" t="s">
        <v>390</v>
      </c>
      <c r="K9" s="166" t="s">
        <v>391</v>
      </c>
      <c r="L9" s="150"/>
      <c r="M9" s="150"/>
      <c r="N9" s="150"/>
      <c r="O9" s="155"/>
      <c r="P9" s="64" t="s">
        <v>354</v>
      </c>
      <c r="Q9" s="65" t="s">
        <v>355</v>
      </c>
      <c r="R9" s="65" t="s">
        <v>356</v>
      </c>
      <c r="S9" s="65" t="s">
        <v>357</v>
      </c>
      <c r="T9" s="65" t="s">
        <v>358</v>
      </c>
      <c r="U9" s="65" t="s">
        <v>359</v>
      </c>
    </row>
    <row r="10" spans="1:26" ht="15.75" customHeight="1">
      <c r="A10" s="50" t="s">
        <v>388</v>
      </c>
      <c r="B10" s="180" t="s">
        <v>36</v>
      </c>
      <c r="C10" s="150"/>
      <c r="D10" s="150"/>
      <c r="E10" s="150"/>
      <c r="F10" s="114" t="s">
        <v>393</v>
      </c>
      <c r="G10" s="114" t="s">
        <v>393</v>
      </c>
      <c r="H10" s="114" t="s">
        <v>393</v>
      </c>
      <c r="I10" s="114" t="s">
        <v>393</v>
      </c>
      <c r="J10" s="181"/>
      <c r="K10" s="150"/>
      <c r="L10" s="150"/>
      <c r="M10" s="150"/>
      <c r="N10" s="150"/>
      <c r="O10" s="155"/>
      <c r="P10" s="66"/>
      <c r="Q10" s="66"/>
      <c r="R10" s="66"/>
      <c r="S10" s="66"/>
      <c r="T10" s="67"/>
      <c r="U10" s="67"/>
      <c r="V10" s="80"/>
      <c r="W10" s="80"/>
      <c r="X10" s="80"/>
      <c r="Y10" s="80"/>
      <c r="Z10" s="80"/>
    </row>
    <row r="11" spans="1:26" ht="114">
      <c r="A11" s="50" t="s">
        <v>394</v>
      </c>
      <c r="B11" s="78" t="s">
        <v>36</v>
      </c>
      <c r="C11" s="75" t="s">
        <v>571</v>
      </c>
      <c r="D11" s="75" t="s">
        <v>572</v>
      </c>
      <c r="E11" s="75" t="s">
        <v>573</v>
      </c>
      <c r="F11" s="97" t="s">
        <v>10</v>
      </c>
      <c r="G11" s="98"/>
      <c r="H11" s="98"/>
      <c r="I11" s="98"/>
      <c r="J11" s="113" t="s">
        <v>574</v>
      </c>
      <c r="K11" s="178" t="s">
        <v>575</v>
      </c>
      <c r="L11" s="150"/>
      <c r="M11" s="150"/>
      <c r="N11" s="150"/>
      <c r="O11" s="155"/>
      <c r="P11" s="72"/>
      <c r="Q11" s="71"/>
      <c r="R11" s="71"/>
      <c r="S11" s="71"/>
      <c r="T11" s="72"/>
      <c r="U11" s="72"/>
      <c r="V11" s="80"/>
      <c r="W11" s="80"/>
      <c r="X11" s="80"/>
      <c r="Y11" s="80"/>
      <c r="Z11" s="80"/>
    </row>
    <row r="12" spans="1:26" ht="12.75">
      <c r="A12" s="50" t="s">
        <v>388</v>
      </c>
      <c r="B12" s="180" t="s">
        <v>576</v>
      </c>
      <c r="C12" s="150"/>
      <c r="D12" s="150"/>
      <c r="E12" s="150"/>
      <c r="F12" s="180" t="s">
        <v>393</v>
      </c>
      <c r="G12" s="150"/>
      <c r="H12" s="150"/>
      <c r="I12" s="150"/>
      <c r="J12" s="181"/>
      <c r="K12" s="150"/>
      <c r="L12" s="150"/>
      <c r="M12" s="150"/>
      <c r="N12" s="150"/>
      <c r="O12" s="155"/>
      <c r="P12" s="80"/>
      <c r="Q12" s="80"/>
      <c r="R12" s="80"/>
      <c r="S12" s="80"/>
      <c r="T12" s="80"/>
      <c r="U12" s="80"/>
      <c r="V12" s="80"/>
      <c r="W12" s="80"/>
      <c r="X12" s="80"/>
      <c r="Y12" s="80"/>
      <c r="Z12" s="80"/>
    </row>
    <row r="13" spans="1:26" ht="409.5">
      <c r="A13" s="50" t="s">
        <v>394</v>
      </c>
      <c r="B13" s="78" t="s">
        <v>576</v>
      </c>
      <c r="C13" s="75" t="s">
        <v>577</v>
      </c>
      <c r="D13" s="74" t="s">
        <v>578</v>
      </c>
      <c r="E13" s="75" t="s">
        <v>579</v>
      </c>
      <c r="F13" s="97" t="s">
        <v>10</v>
      </c>
      <c r="G13" s="98"/>
      <c r="H13" s="98"/>
      <c r="I13" s="98"/>
      <c r="J13" s="115" t="s">
        <v>580</v>
      </c>
      <c r="K13" s="179"/>
      <c r="L13" s="150"/>
      <c r="M13" s="150"/>
      <c r="N13" s="150"/>
      <c r="O13" s="155"/>
      <c r="P13" s="72"/>
      <c r="Q13" s="71"/>
      <c r="R13" s="71"/>
      <c r="S13" s="71"/>
      <c r="T13" s="72"/>
      <c r="U13" s="72"/>
      <c r="V13" s="80"/>
      <c r="W13" s="80"/>
      <c r="X13" s="80"/>
      <c r="Y13" s="80"/>
      <c r="Z13" s="80"/>
    </row>
    <row r="14" spans="1:26" ht="12.75">
      <c r="A14" s="50"/>
      <c r="B14" s="180" t="s">
        <v>58</v>
      </c>
      <c r="C14" s="150"/>
      <c r="D14" s="150"/>
      <c r="E14" s="150"/>
      <c r="F14" s="180" t="s">
        <v>393</v>
      </c>
      <c r="G14" s="150"/>
      <c r="H14" s="150"/>
      <c r="I14" s="150"/>
      <c r="J14" s="116"/>
      <c r="K14" s="181"/>
      <c r="L14" s="150"/>
      <c r="M14" s="150"/>
      <c r="N14" s="150"/>
      <c r="O14" s="155"/>
      <c r="P14" s="80"/>
      <c r="Q14" s="80"/>
      <c r="R14" s="80"/>
      <c r="S14" s="80"/>
      <c r="T14" s="80"/>
      <c r="U14" s="80"/>
      <c r="V14" s="80"/>
      <c r="W14" s="80"/>
      <c r="X14" s="80"/>
      <c r="Y14" s="80"/>
      <c r="Z14" s="80"/>
    </row>
    <row r="15" spans="1:26" ht="199.5">
      <c r="A15" s="50" t="s">
        <v>394</v>
      </c>
      <c r="B15" s="78" t="s">
        <v>581</v>
      </c>
      <c r="C15" s="75" t="s">
        <v>582</v>
      </c>
      <c r="D15" s="75" t="s">
        <v>583</v>
      </c>
      <c r="E15" s="75" t="s">
        <v>584</v>
      </c>
      <c r="F15" s="97" t="s">
        <v>10</v>
      </c>
      <c r="G15" s="98"/>
      <c r="H15" s="98"/>
      <c r="I15" s="98"/>
      <c r="J15" s="97"/>
      <c r="K15" s="179"/>
      <c r="L15" s="150"/>
      <c r="M15" s="150"/>
      <c r="N15" s="150"/>
      <c r="O15" s="155"/>
      <c r="P15" s="72"/>
      <c r="Q15" s="71"/>
      <c r="R15" s="71"/>
      <c r="S15" s="71"/>
      <c r="T15" s="72"/>
      <c r="U15" s="72"/>
      <c r="V15" s="80"/>
      <c r="W15" s="80"/>
      <c r="X15" s="80"/>
      <c r="Y15" s="80"/>
      <c r="Z15" s="80"/>
    </row>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sheetData>
  <mergeCells count="18">
    <mergeCell ref="B10:E10"/>
    <mergeCell ref="B1:B5"/>
    <mergeCell ref="C1:D1"/>
    <mergeCell ref="K1:O8"/>
    <mergeCell ref="C2:D2"/>
    <mergeCell ref="C3:D3"/>
    <mergeCell ref="C4:D4"/>
    <mergeCell ref="K9:O9"/>
    <mergeCell ref="J10:O10"/>
    <mergeCell ref="K11:O11"/>
    <mergeCell ref="K13:O13"/>
    <mergeCell ref="K15:O15"/>
    <mergeCell ref="B12:E12"/>
    <mergeCell ref="F12:I12"/>
    <mergeCell ref="J12:O12"/>
    <mergeCell ref="B14:E14"/>
    <mergeCell ref="F14:I14"/>
    <mergeCell ref="K14:O14"/>
  </mergeCells>
  <dataValidations count="4">
    <dataValidation type="list" allowBlank="1" showErrorMessage="1" sqref="Q11 Q13 Q15" xr:uid="{00000000-0002-0000-0700-000000000000}">
      <formula1>"Done,Planned Next,Maintenance,Draft,Blocked,Not Found"</formula1>
    </dataValidation>
    <dataValidation type="list" allowBlank="1" showErrorMessage="1" sqref="F11:I11 F13:I13 F15:I15" xr:uid="{00000000-0002-0000-0700-000001000000}">
      <formula1>"Pass,Improvement,Fail,N/A,Blocked"</formula1>
    </dataValidation>
    <dataValidation type="list" allowBlank="1" showErrorMessage="1" sqref="S11 S13 S15" xr:uid="{00000000-0002-0000-0700-000002000000}">
      <formula1>"Yes,No"</formula1>
    </dataValidation>
    <dataValidation type="list" allowBlank="1" showErrorMessage="1" sqref="R11 R13 R15" xr:uid="{00000000-0002-0000-0700-000003000000}">
      <formula1>"Approved,Request Assertions,No Automation needed,Needs Automation,To adjust for V2"</formula1>
    </dataValidation>
  </dataValidations>
  <hyperlinks>
    <hyperlink ref="J11" r:id="rId1" xr:uid="{00000000-0004-0000-0700-000000000000}"/>
    <hyperlink ref="D13" r:id="rId2" xr:uid="{00000000-0004-0000-07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1C232"/>
    <outlinePr summaryBelow="0" summaryRight="0"/>
  </sheetPr>
  <dimension ref="A1:P646"/>
  <sheetViews>
    <sheetView workbookViewId="0">
      <pane ySplit="9" topLeftCell="A10" activePane="bottomLeft" state="frozen"/>
      <selection pane="bottomLeft" activeCell="B11" sqref="B11"/>
    </sheetView>
  </sheetViews>
  <sheetFormatPr defaultColWidth="12.59765625" defaultRowHeight="15" customHeight="1"/>
  <cols>
    <col min="1" max="1" width="4" hidden="1" customWidth="1"/>
    <col min="2" max="2" width="10.3984375" customWidth="1"/>
    <col min="3" max="3" width="26" customWidth="1"/>
    <col min="4" max="4" width="43" customWidth="1"/>
    <col min="5" max="5" width="29.3984375" customWidth="1"/>
    <col min="6" max="8" width="12.59765625" customWidth="1"/>
    <col min="9" max="9" width="12.59765625" hidden="1" customWidth="1"/>
    <col min="11" max="11" width="49.59765625" customWidth="1"/>
    <col min="12" max="12" width="36.46484375" customWidth="1"/>
  </cols>
  <sheetData>
    <row r="1" spans="1:16" ht="15.75" customHeight="1">
      <c r="A1" s="60"/>
      <c r="B1" s="60"/>
      <c r="C1" s="60"/>
      <c r="D1" s="60"/>
      <c r="E1" s="4"/>
      <c r="F1" s="5" t="s">
        <v>4</v>
      </c>
      <c r="G1" s="5" t="s">
        <v>5</v>
      </c>
      <c r="H1" s="5" t="s">
        <v>6</v>
      </c>
      <c r="I1" s="89" t="s">
        <v>382</v>
      </c>
      <c r="K1" s="182" t="s">
        <v>650</v>
      </c>
      <c r="L1" s="159"/>
      <c r="M1" s="159"/>
      <c r="N1" s="159"/>
      <c r="O1" s="159"/>
      <c r="P1" s="118"/>
    </row>
    <row r="2" spans="1:16" ht="15.75" customHeight="1">
      <c r="A2" s="60"/>
      <c r="B2" s="60"/>
      <c r="C2" s="60"/>
      <c r="D2" s="60"/>
      <c r="E2" s="5" t="s">
        <v>10</v>
      </c>
      <c r="F2" s="6">
        <f>COUNTIF($F$11:F64,$E$2)/$C$7</f>
        <v>0</v>
      </c>
      <c r="G2" s="6">
        <f>COUNTIF($G$11:AA64,$E$2)/$C$7</f>
        <v>0</v>
      </c>
      <c r="H2" s="6">
        <f>COUNTIF($H$11:H64,$E$2)/$C$7</f>
        <v>0</v>
      </c>
      <c r="I2" s="6"/>
      <c r="K2" s="159"/>
      <c r="L2" s="159"/>
      <c r="M2" s="159"/>
      <c r="N2" s="159"/>
      <c r="O2" s="159"/>
      <c r="P2" s="118"/>
    </row>
    <row r="3" spans="1:16" ht="15.75" customHeight="1">
      <c r="A3" s="60"/>
      <c r="B3" s="60"/>
      <c r="C3" s="119"/>
      <c r="D3" s="119"/>
      <c r="E3" s="7" t="s">
        <v>11</v>
      </c>
      <c r="F3" s="6">
        <f>COUNTIF($F$11:F64,$E$3)/$C$7</f>
        <v>0</v>
      </c>
      <c r="G3" s="6">
        <f>COUNTIF($G$11:G64,$E$3)/$C$7</f>
        <v>0</v>
      </c>
      <c r="H3" s="6">
        <f>COUNTIF($H$11:H64,$E$3)/$C$7</f>
        <v>0</v>
      </c>
      <c r="I3" s="6"/>
      <c r="K3" s="159"/>
      <c r="L3" s="159"/>
      <c r="M3" s="159"/>
      <c r="N3" s="159"/>
      <c r="O3" s="159"/>
      <c r="P3" s="118"/>
    </row>
    <row r="4" spans="1:16" ht="15.75" customHeight="1">
      <c r="A4" s="60"/>
      <c r="B4" s="60"/>
      <c r="C4" s="60"/>
      <c r="D4" s="60"/>
      <c r="E4" s="5" t="s">
        <v>12</v>
      </c>
      <c r="F4" s="6">
        <f>COUNTIF($F$11:F64,$E$4)/$C$7</f>
        <v>0</v>
      </c>
      <c r="G4" s="6">
        <f>COUNTIF($G$11:G64,$E$4)/$C$7</f>
        <v>0</v>
      </c>
      <c r="H4" s="6">
        <f>COUNTIF($H$11:H64,$E$4)/$C$7</f>
        <v>0</v>
      </c>
      <c r="I4" s="6"/>
      <c r="K4" s="159"/>
      <c r="L4" s="159"/>
      <c r="M4" s="159"/>
      <c r="N4" s="159"/>
      <c r="O4" s="159"/>
      <c r="P4" s="118"/>
    </row>
    <row r="5" spans="1:16" ht="15.75" customHeight="1">
      <c r="A5" s="60"/>
      <c r="B5" s="60"/>
      <c r="C5" s="60"/>
      <c r="D5" s="60"/>
      <c r="E5" s="5" t="s">
        <v>13</v>
      </c>
      <c r="F5" s="6">
        <f>COUNTIF($F$11:F64,$E$5)/$C$7</f>
        <v>0</v>
      </c>
      <c r="G5" s="6">
        <f>COUNTIF($G$11:G64,$E$5)/$C$7</f>
        <v>0</v>
      </c>
      <c r="H5" s="6">
        <f>COUNTIF($H$11:H64,$E$5)/$C$7</f>
        <v>0</v>
      </c>
      <c r="I5" s="6"/>
      <c r="J5" s="61"/>
      <c r="K5" s="159"/>
      <c r="L5" s="159"/>
      <c r="M5" s="159"/>
      <c r="N5" s="159"/>
      <c r="O5" s="159"/>
      <c r="P5" s="118"/>
    </row>
    <row r="6" spans="1:16" ht="15.75" customHeight="1">
      <c r="A6" s="60"/>
      <c r="B6" s="60"/>
      <c r="C6" s="60"/>
      <c r="D6" s="60"/>
      <c r="E6" s="5" t="s">
        <v>14</v>
      </c>
      <c r="F6" s="6">
        <f>COUNTIFS($F$11:F64, "", $F$11:F64, "&lt;&gt;N/A", $F$11:F64, "&lt;&gt;.") /$C$7 + F5</f>
        <v>1</v>
      </c>
      <c r="G6" s="6">
        <f>COUNTIFS($G$11:G64, "", $G$11:G64, "&lt;&gt;N/A", $G$11:G64, "&lt;&gt;.") /$C$7 + G5</f>
        <v>1</v>
      </c>
      <c r="H6" s="6">
        <f>COUNTIFS($H$11:H64, "", $H$11:H64, "&lt;&gt;N/A", $H$11:H64, "&lt;&gt;.") /$C$7 + H5</f>
        <v>1</v>
      </c>
      <c r="I6" s="6"/>
      <c r="K6" s="159"/>
      <c r="L6" s="159"/>
      <c r="M6" s="159"/>
      <c r="N6" s="159"/>
      <c r="O6" s="159"/>
      <c r="P6" s="118"/>
    </row>
    <row r="7" spans="1:16" ht="15.75" customHeight="1">
      <c r="A7" s="60"/>
      <c r="B7" s="86" t="s">
        <v>349</v>
      </c>
      <c r="C7" s="87">
        <f>COUNTIF(A:A,"TC")</f>
        <v>47</v>
      </c>
      <c r="D7" s="60"/>
      <c r="E7" s="7" t="s">
        <v>15</v>
      </c>
      <c r="F7" s="91">
        <f t="shared" ref="F7:H7" si="0">100% - F6</f>
        <v>0</v>
      </c>
      <c r="G7" s="91">
        <f t="shared" si="0"/>
        <v>0</v>
      </c>
      <c r="H7" s="91">
        <f t="shared" si="0"/>
        <v>0</v>
      </c>
      <c r="I7" s="91"/>
      <c r="J7" s="61"/>
      <c r="K7" s="159"/>
      <c r="L7" s="159"/>
      <c r="M7" s="159"/>
      <c r="N7" s="159"/>
      <c r="O7" s="159"/>
      <c r="P7" s="118"/>
    </row>
    <row r="8" spans="1:16" ht="15.75" customHeight="1">
      <c r="A8" s="60"/>
      <c r="B8" s="60"/>
      <c r="C8" s="60"/>
      <c r="D8" s="60"/>
      <c r="E8" s="92"/>
      <c r="F8" s="92"/>
      <c r="G8" s="92"/>
      <c r="H8" s="92"/>
      <c r="I8" s="92"/>
      <c r="J8" s="61"/>
      <c r="K8" s="159"/>
      <c r="L8" s="159"/>
      <c r="M8" s="159"/>
      <c r="N8" s="159"/>
      <c r="O8" s="159"/>
      <c r="P8" s="118"/>
    </row>
    <row r="9" spans="1:16" ht="15.75" customHeight="1">
      <c r="A9" s="4" t="s">
        <v>388</v>
      </c>
      <c r="B9" s="62" t="s">
        <v>651</v>
      </c>
      <c r="C9" s="62" t="s">
        <v>652</v>
      </c>
      <c r="D9" s="62" t="s">
        <v>351</v>
      </c>
      <c r="E9" s="63" t="s">
        <v>353</v>
      </c>
      <c r="F9" s="63" t="s">
        <v>389</v>
      </c>
      <c r="G9" s="63" t="s">
        <v>389</v>
      </c>
      <c r="H9" s="63" t="s">
        <v>389</v>
      </c>
      <c r="I9" s="63" t="s">
        <v>389</v>
      </c>
      <c r="J9" s="63" t="s">
        <v>390</v>
      </c>
      <c r="K9" s="63" t="s">
        <v>653</v>
      </c>
      <c r="L9" s="166" t="s">
        <v>654</v>
      </c>
      <c r="M9" s="150"/>
      <c r="N9" s="150"/>
      <c r="O9" s="150"/>
      <c r="P9" s="155"/>
    </row>
    <row r="10" spans="1:16" ht="15.75" customHeight="1">
      <c r="A10" s="4" t="s">
        <v>388</v>
      </c>
      <c r="B10" s="120"/>
      <c r="C10" s="121"/>
      <c r="D10" s="121"/>
      <c r="E10" s="121"/>
      <c r="F10" s="121" t="s">
        <v>393</v>
      </c>
      <c r="G10" s="121" t="s">
        <v>393</v>
      </c>
      <c r="H10" s="121" t="s">
        <v>393</v>
      </c>
      <c r="I10" s="121" t="s">
        <v>393</v>
      </c>
      <c r="J10" s="187"/>
      <c r="K10" s="150"/>
      <c r="L10" s="150"/>
      <c r="M10" s="150"/>
      <c r="N10" s="150"/>
      <c r="O10" s="150"/>
      <c r="P10" s="155"/>
    </row>
    <row r="11" spans="1:16" ht="15.75" customHeight="1">
      <c r="A11" s="4" t="s">
        <v>394</v>
      </c>
      <c r="B11" s="68" t="s">
        <v>13</v>
      </c>
      <c r="C11" s="75" t="s">
        <v>13</v>
      </c>
      <c r="D11" s="75" t="s">
        <v>655</v>
      </c>
      <c r="E11" s="122" t="s">
        <v>656</v>
      </c>
      <c r="F11" s="81"/>
      <c r="G11" s="81"/>
      <c r="H11" s="81"/>
      <c r="I11" s="81"/>
      <c r="J11" s="123"/>
      <c r="K11" s="123"/>
      <c r="L11" s="188"/>
      <c r="M11" s="150"/>
      <c r="N11" s="150"/>
      <c r="O11" s="150"/>
      <c r="P11" s="155"/>
    </row>
    <row r="12" spans="1:16" ht="15.75" customHeight="1">
      <c r="A12" s="4" t="s">
        <v>388</v>
      </c>
      <c r="B12" s="187"/>
      <c r="C12" s="150"/>
      <c r="D12" s="121"/>
      <c r="E12" s="121"/>
      <c r="F12" s="121" t="s">
        <v>393</v>
      </c>
      <c r="G12" s="121" t="s">
        <v>393</v>
      </c>
      <c r="H12" s="121" t="s">
        <v>393</v>
      </c>
      <c r="I12" s="121" t="s">
        <v>393</v>
      </c>
      <c r="J12" s="187"/>
      <c r="K12" s="150"/>
      <c r="L12" s="150"/>
      <c r="M12" s="150"/>
      <c r="N12" s="150"/>
      <c r="O12" s="150"/>
      <c r="P12" s="155"/>
    </row>
    <row r="13" spans="1:16" ht="15.75" customHeight="1">
      <c r="A13" s="4" t="s">
        <v>394</v>
      </c>
      <c r="B13" s="184" t="s">
        <v>657</v>
      </c>
      <c r="C13" s="185" t="s">
        <v>657</v>
      </c>
      <c r="D13" s="69" t="s">
        <v>658</v>
      </c>
      <c r="E13" s="69" t="s">
        <v>659</v>
      </c>
      <c r="F13" s="81"/>
      <c r="G13" s="81"/>
      <c r="H13" s="81"/>
      <c r="I13" s="81"/>
      <c r="J13" s="92"/>
      <c r="K13" s="92"/>
      <c r="L13" s="186"/>
      <c r="M13" s="150"/>
      <c r="N13" s="150"/>
      <c r="O13" s="150"/>
      <c r="P13" s="155"/>
    </row>
    <row r="14" spans="1:16" ht="15.75" customHeight="1">
      <c r="A14" s="4" t="s">
        <v>394</v>
      </c>
      <c r="B14" s="152"/>
      <c r="C14" s="156"/>
      <c r="D14" s="77" t="s">
        <v>660</v>
      </c>
      <c r="E14" s="69" t="s">
        <v>661</v>
      </c>
      <c r="F14" s="81"/>
      <c r="G14" s="81"/>
      <c r="H14" s="81"/>
      <c r="I14" s="81"/>
      <c r="J14" s="117"/>
      <c r="K14" s="117"/>
      <c r="L14" s="186"/>
      <c r="M14" s="150"/>
      <c r="N14" s="150"/>
      <c r="O14" s="150"/>
      <c r="P14" s="155"/>
    </row>
    <row r="15" spans="1:16" ht="15.75" customHeight="1">
      <c r="A15" s="4" t="s">
        <v>388</v>
      </c>
      <c r="B15" s="183"/>
      <c r="C15" s="150"/>
      <c r="D15" s="150"/>
      <c r="E15" s="150"/>
      <c r="F15" s="121" t="s">
        <v>393</v>
      </c>
      <c r="G15" s="121" t="s">
        <v>393</v>
      </c>
      <c r="H15" s="121" t="s">
        <v>393</v>
      </c>
      <c r="I15" s="121" t="s">
        <v>393</v>
      </c>
      <c r="J15" s="187"/>
      <c r="K15" s="150"/>
      <c r="L15" s="150"/>
      <c r="M15" s="150"/>
      <c r="N15" s="150"/>
      <c r="O15" s="150"/>
      <c r="P15" s="155"/>
    </row>
    <row r="16" spans="1:16" ht="15.75" customHeight="1">
      <c r="A16" s="4" t="s">
        <v>394</v>
      </c>
      <c r="B16" s="184" t="s">
        <v>662</v>
      </c>
      <c r="C16" s="185" t="s">
        <v>663</v>
      </c>
      <c r="D16" s="69" t="s">
        <v>658</v>
      </c>
      <c r="E16" s="69" t="s">
        <v>659</v>
      </c>
      <c r="F16" s="81"/>
      <c r="G16" s="81"/>
      <c r="H16" s="81"/>
      <c r="I16" s="81"/>
      <c r="J16" s="92"/>
      <c r="K16" s="92"/>
      <c r="L16" s="186"/>
      <c r="M16" s="150"/>
      <c r="N16" s="150"/>
      <c r="O16" s="150"/>
      <c r="P16" s="155"/>
    </row>
    <row r="17" spans="1:16" ht="15.75" customHeight="1">
      <c r="A17" s="4" t="s">
        <v>394</v>
      </c>
      <c r="B17" s="152"/>
      <c r="C17" s="156"/>
      <c r="D17" s="77" t="s">
        <v>660</v>
      </c>
      <c r="E17" s="69" t="s">
        <v>661</v>
      </c>
      <c r="F17" s="81"/>
      <c r="G17" s="81"/>
      <c r="H17" s="81"/>
      <c r="I17" s="81"/>
      <c r="J17" s="92"/>
      <c r="K17" s="92"/>
      <c r="L17" s="186"/>
      <c r="M17" s="150"/>
      <c r="N17" s="150"/>
      <c r="O17" s="150"/>
      <c r="P17" s="155"/>
    </row>
    <row r="18" spans="1:16" ht="15.75" customHeight="1">
      <c r="A18" s="4" t="s">
        <v>394</v>
      </c>
      <c r="B18" s="152"/>
      <c r="C18" s="185" t="s">
        <v>664</v>
      </c>
      <c r="D18" s="69" t="s">
        <v>658</v>
      </c>
      <c r="E18" s="69" t="s">
        <v>659</v>
      </c>
      <c r="F18" s="81"/>
      <c r="G18" s="81"/>
      <c r="H18" s="81"/>
      <c r="I18" s="81"/>
      <c r="J18" s="117"/>
      <c r="K18" s="117"/>
      <c r="L18" s="186"/>
      <c r="M18" s="150"/>
      <c r="N18" s="150"/>
      <c r="O18" s="150"/>
      <c r="P18" s="155"/>
    </row>
    <row r="19" spans="1:16" ht="15.75" customHeight="1">
      <c r="A19" s="4" t="s">
        <v>394</v>
      </c>
      <c r="B19" s="152"/>
      <c r="C19" s="156"/>
      <c r="D19" s="77" t="s">
        <v>660</v>
      </c>
      <c r="E19" s="69" t="s">
        <v>661</v>
      </c>
      <c r="F19" s="81"/>
      <c r="G19" s="81"/>
      <c r="H19" s="81"/>
      <c r="I19" s="81"/>
      <c r="J19" s="117"/>
      <c r="K19" s="117"/>
      <c r="L19" s="186"/>
      <c r="M19" s="150"/>
      <c r="N19" s="150"/>
      <c r="O19" s="150"/>
      <c r="P19" s="155"/>
    </row>
    <row r="20" spans="1:16" ht="15.75" customHeight="1">
      <c r="A20" s="4" t="s">
        <v>394</v>
      </c>
      <c r="B20" s="152"/>
      <c r="C20" s="185" t="s">
        <v>665</v>
      </c>
      <c r="D20" s="69" t="s">
        <v>658</v>
      </c>
      <c r="E20" s="69" t="s">
        <v>659</v>
      </c>
      <c r="F20" s="81"/>
      <c r="G20" s="81"/>
      <c r="H20" s="81"/>
      <c r="I20" s="81"/>
      <c r="J20" s="92"/>
      <c r="K20" s="92"/>
      <c r="L20" s="186"/>
      <c r="M20" s="150"/>
      <c r="N20" s="150"/>
      <c r="O20" s="150"/>
      <c r="P20" s="155"/>
    </row>
    <row r="21" spans="1:16" ht="15.75" customHeight="1">
      <c r="A21" s="4" t="s">
        <v>394</v>
      </c>
      <c r="B21" s="152"/>
      <c r="C21" s="152"/>
      <c r="D21" s="77" t="s">
        <v>660</v>
      </c>
      <c r="E21" s="69" t="s">
        <v>661</v>
      </c>
      <c r="F21" s="81"/>
      <c r="G21" s="81"/>
      <c r="H21" s="81"/>
      <c r="I21" s="81"/>
      <c r="J21" s="92"/>
      <c r="K21" s="92"/>
      <c r="L21" s="186"/>
      <c r="M21" s="150"/>
      <c r="N21" s="150"/>
      <c r="O21" s="150"/>
      <c r="P21" s="155"/>
    </row>
    <row r="22" spans="1:16" ht="15.75" customHeight="1">
      <c r="A22" s="4" t="s">
        <v>394</v>
      </c>
      <c r="B22" s="152"/>
      <c r="C22" s="152"/>
      <c r="D22" s="69" t="s">
        <v>666</v>
      </c>
      <c r="E22" s="69" t="s">
        <v>659</v>
      </c>
      <c r="F22" s="81"/>
      <c r="G22" s="81"/>
      <c r="H22" s="81"/>
      <c r="I22" s="81"/>
      <c r="J22" s="92"/>
      <c r="K22" s="92"/>
      <c r="L22" s="186"/>
      <c r="M22" s="150"/>
      <c r="N22" s="150"/>
      <c r="O22" s="150"/>
      <c r="P22" s="155"/>
    </row>
    <row r="23" spans="1:16" ht="15.75" customHeight="1">
      <c r="A23" s="4" t="s">
        <v>394</v>
      </c>
      <c r="B23" s="152"/>
      <c r="C23" s="156"/>
      <c r="D23" s="69" t="s">
        <v>667</v>
      </c>
      <c r="E23" s="69" t="s">
        <v>661</v>
      </c>
      <c r="F23" s="81"/>
      <c r="G23" s="81"/>
      <c r="H23" s="81"/>
      <c r="I23" s="81"/>
      <c r="J23" s="92"/>
      <c r="K23" s="92"/>
      <c r="L23" s="186"/>
      <c r="M23" s="150"/>
      <c r="N23" s="150"/>
      <c r="O23" s="150"/>
      <c r="P23" s="155"/>
    </row>
    <row r="24" spans="1:16" ht="15.75" customHeight="1">
      <c r="A24" s="4" t="s">
        <v>394</v>
      </c>
      <c r="B24" s="152"/>
      <c r="C24" s="185" t="s">
        <v>668</v>
      </c>
      <c r="D24" s="69" t="s">
        <v>658</v>
      </c>
      <c r="E24" s="69" t="s">
        <v>659</v>
      </c>
      <c r="F24" s="81"/>
      <c r="G24" s="81"/>
      <c r="H24" s="81"/>
      <c r="I24" s="81"/>
      <c r="J24" s="92"/>
      <c r="K24" s="92"/>
      <c r="L24" s="186"/>
      <c r="M24" s="150"/>
      <c r="N24" s="150"/>
      <c r="O24" s="150"/>
      <c r="P24" s="155"/>
    </row>
    <row r="25" spans="1:16" ht="15.75" customHeight="1">
      <c r="A25" s="4" t="s">
        <v>394</v>
      </c>
      <c r="B25" s="152"/>
      <c r="C25" s="156"/>
      <c r="D25" s="77" t="s">
        <v>660</v>
      </c>
      <c r="E25" s="69" t="s">
        <v>661</v>
      </c>
      <c r="F25" s="81"/>
      <c r="G25" s="81"/>
      <c r="H25" s="81"/>
      <c r="I25" s="81"/>
      <c r="J25" s="92"/>
      <c r="K25" s="92"/>
      <c r="L25" s="186"/>
      <c r="M25" s="150"/>
      <c r="N25" s="150"/>
      <c r="O25" s="150"/>
      <c r="P25" s="155"/>
    </row>
    <row r="26" spans="1:16" ht="15.75" customHeight="1">
      <c r="A26" s="4" t="s">
        <v>394</v>
      </c>
      <c r="B26" s="152"/>
      <c r="C26" s="185" t="s">
        <v>669</v>
      </c>
      <c r="D26" s="69" t="s">
        <v>658</v>
      </c>
      <c r="E26" s="69" t="s">
        <v>659</v>
      </c>
      <c r="F26" s="81"/>
      <c r="G26" s="81"/>
      <c r="H26" s="81"/>
      <c r="I26" s="81"/>
      <c r="J26" s="92"/>
      <c r="K26" s="92"/>
      <c r="L26" s="186"/>
      <c r="M26" s="150"/>
      <c r="N26" s="150"/>
      <c r="O26" s="150"/>
      <c r="P26" s="155"/>
    </row>
    <row r="27" spans="1:16" ht="15.75" customHeight="1">
      <c r="A27" s="4" t="s">
        <v>394</v>
      </c>
      <c r="B27" s="152"/>
      <c r="C27" s="156"/>
      <c r="D27" s="77" t="s">
        <v>660</v>
      </c>
      <c r="E27" s="69" t="s">
        <v>661</v>
      </c>
      <c r="F27" s="81"/>
      <c r="G27" s="81"/>
      <c r="H27" s="81"/>
      <c r="I27" s="81"/>
      <c r="J27" s="92"/>
      <c r="K27" s="92"/>
      <c r="L27" s="186"/>
      <c r="M27" s="150"/>
      <c r="N27" s="150"/>
      <c r="O27" s="150"/>
      <c r="P27" s="155"/>
    </row>
    <row r="28" spans="1:16" ht="15.75" customHeight="1">
      <c r="A28" s="4" t="s">
        <v>394</v>
      </c>
      <c r="B28" s="152"/>
      <c r="C28" s="185" t="s">
        <v>670</v>
      </c>
      <c r="D28" s="69" t="s">
        <v>658</v>
      </c>
      <c r="E28" s="69" t="s">
        <v>659</v>
      </c>
      <c r="F28" s="81"/>
      <c r="G28" s="81"/>
      <c r="H28" s="81"/>
      <c r="I28" s="81"/>
      <c r="J28" s="92"/>
      <c r="K28" s="92"/>
      <c r="L28" s="186"/>
      <c r="M28" s="150"/>
      <c r="N28" s="150"/>
      <c r="O28" s="150"/>
      <c r="P28" s="155"/>
    </row>
    <row r="29" spans="1:16" ht="15.75" customHeight="1">
      <c r="A29" s="4" t="s">
        <v>394</v>
      </c>
      <c r="B29" s="152"/>
      <c r="C29" s="156"/>
      <c r="D29" s="77" t="s">
        <v>660</v>
      </c>
      <c r="E29" s="69" t="s">
        <v>661</v>
      </c>
      <c r="F29" s="81"/>
      <c r="G29" s="81"/>
      <c r="H29" s="81"/>
      <c r="I29" s="81"/>
      <c r="J29" s="92"/>
      <c r="K29" s="92"/>
      <c r="L29" s="186"/>
      <c r="M29" s="150"/>
      <c r="N29" s="150"/>
      <c r="O29" s="150"/>
      <c r="P29" s="155"/>
    </row>
    <row r="30" spans="1:16" ht="15.75" customHeight="1">
      <c r="A30" s="4" t="s">
        <v>394</v>
      </c>
      <c r="B30" s="152"/>
      <c r="C30" s="185" t="s">
        <v>671</v>
      </c>
      <c r="D30" s="69" t="s">
        <v>658</v>
      </c>
      <c r="E30" s="69" t="s">
        <v>659</v>
      </c>
      <c r="F30" s="81"/>
      <c r="G30" s="81"/>
      <c r="H30" s="81"/>
      <c r="I30" s="81"/>
      <c r="J30" s="92"/>
      <c r="K30" s="92"/>
      <c r="L30" s="186"/>
      <c r="M30" s="150"/>
      <c r="N30" s="150"/>
      <c r="O30" s="150"/>
      <c r="P30" s="155"/>
    </row>
    <row r="31" spans="1:16" ht="15.75" customHeight="1">
      <c r="A31" s="4" t="s">
        <v>394</v>
      </c>
      <c r="B31" s="152"/>
      <c r="C31" s="156"/>
      <c r="D31" s="77" t="s">
        <v>660</v>
      </c>
      <c r="E31" s="69" t="s">
        <v>661</v>
      </c>
      <c r="F31" s="81"/>
      <c r="G31" s="81"/>
      <c r="H31" s="81"/>
      <c r="I31" s="81"/>
      <c r="J31" s="92"/>
      <c r="K31" s="92"/>
      <c r="L31" s="186"/>
      <c r="M31" s="150"/>
      <c r="N31" s="150"/>
      <c r="O31" s="150"/>
      <c r="P31" s="155"/>
    </row>
    <row r="32" spans="1:16" ht="15.75" customHeight="1">
      <c r="A32" s="4" t="s">
        <v>388</v>
      </c>
      <c r="B32" s="183"/>
      <c r="C32" s="150"/>
      <c r="D32" s="150"/>
      <c r="E32" s="150"/>
      <c r="F32" s="120" t="s">
        <v>393</v>
      </c>
      <c r="G32" s="121" t="s">
        <v>393</v>
      </c>
      <c r="H32" s="121" t="s">
        <v>393</v>
      </c>
      <c r="I32" s="121" t="s">
        <v>393</v>
      </c>
      <c r="J32" s="183"/>
      <c r="K32" s="150"/>
      <c r="L32" s="150"/>
      <c r="M32" s="150"/>
      <c r="N32" s="150"/>
      <c r="O32" s="150"/>
      <c r="P32" s="155"/>
    </row>
    <row r="33" spans="1:16" ht="15.75" customHeight="1">
      <c r="A33" s="4" t="s">
        <v>394</v>
      </c>
      <c r="B33" s="184" t="s">
        <v>672</v>
      </c>
      <c r="C33" s="185" t="s">
        <v>672</v>
      </c>
      <c r="D33" s="69" t="s">
        <v>658</v>
      </c>
      <c r="E33" s="69" t="s">
        <v>659</v>
      </c>
      <c r="F33" s="81"/>
      <c r="G33" s="81"/>
      <c r="H33" s="81"/>
      <c r="I33" s="81"/>
      <c r="J33" s="92"/>
      <c r="K33" s="92"/>
      <c r="L33" s="186"/>
      <c r="M33" s="150"/>
      <c r="N33" s="150"/>
      <c r="O33" s="150"/>
      <c r="P33" s="155"/>
    </row>
    <row r="34" spans="1:16" ht="15.75" customHeight="1">
      <c r="A34" s="4" t="s">
        <v>394</v>
      </c>
      <c r="B34" s="152"/>
      <c r="C34" s="156"/>
      <c r="D34" s="77" t="s">
        <v>660</v>
      </c>
      <c r="E34" s="69" t="s">
        <v>661</v>
      </c>
      <c r="F34" s="81"/>
      <c r="G34" s="81"/>
      <c r="H34" s="81"/>
      <c r="I34" s="81"/>
      <c r="J34" s="92"/>
      <c r="K34" s="92"/>
      <c r="L34" s="186"/>
      <c r="M34" s="150"/>
      <c r="N34" s="150"/>
      <c r="O34" s="150"/>
      <c r="P34" s="155"/>
    </row>
    <row r="35" spans="1:16" ht="15.75" customHeight="1">
      <c r="A35" s="4" t="s">
        <v>388</v>
      </c>
      <c r="B35" s="183"/>
      <c r="C35" s="150"/>
      <c r="D35" s="150"/>
      <c r="E35" s="150"/>
      <c r="F35" s="120" t="s">
        <v>393</v>
      </c>
      <c r="G35" s="121" t="s">
        <v>393</v>
      </c>
      <c r="H35" s="121" t="s">
        <v>393</v>
      </c>
      <c r="I35" s="121" t="s">
        <v>393</v>
      </c>
      <c r="J35" s="183"/>
      <c r="K35" s="150"/>
      <c r="L35" s="150"/>
      <c r="M35" s="150"/>
      <c r="N35" s="150"/>
      <c r="O35" s="150"/>
      <c r="P35" s="155"/>
    </row>
    <row r="36" spans="1:16" ht="15.75" customHeight="1">
      <c r="A36" s="4" t="s">
        <v>394</v>
      </c>
      <c r="B36" s="184" t="s">
        <v>673</v>
      </c>
      <c r="C36" s="185" t="s">
        <v>674</v>
      </c>
      <c r="D36" s="69" t="s">
        <v>658</v>
      </c>
      <c r="E36" s="69" t="s">
        <v>659</v>
      </c>
      <c r="F36" s="81"/>
      <c r="G36" s="81"/>
      <c r="H36" s="81"/>
      <c r="I36" s="81"/>
      <c r="J36" s="92"/>
      <c r="K36" s="92"/>
      <c r="L36" s="186"/>
      <c r="M36" s="150"/>
      <c r="N36" s="150"/>
      <c r="O36" s="150"/>
      <c r="P36" s="155"/>
    </row>
    <row r="37" spans="1:16" ht="15.75" customHeight="1">
      <c r="A37" s="4" t="s">
        <v>394</v>
      </c>
      <c r="B37" s="152"/>
      <c r="C37" s="156"/>
      <c r="D37" s="77" t="s">
        <v>660</v>
      </c>
      <c r="E37" s="69" t="s">
        <v>661</v>
      </c>
      <c r="F37" s="81"/>
      <c r="G37" s="81"/>
      <c r="H37" s="81"/>
      <c r="I37" s="81"/>
      <c r="J37" s="92"/>
      <c r="K37" s="92"/>
      <c r="L37" s="186"/>
      <c r="M37" s="150"/>
      <c r="N37" s="150"/>
      <c r="O37" s="150"/>
      <c r="P37" s="155"/>
    </row>
    <row r="38" spans="1:16" ht="15.75" customHeight="1">
      <c r="A38" s="4" t="s">
        <v>394</v>
      </c>
      <c r="B38" s="152"/>
      <c r="C38" s="185" t="s">
        <v>675</v>
      </c>
      <c r="D38" s="69" t="s">
        <v>658</v>
      </c>
      <c r="E38" s="69" t="s">
        <v>659</v>
      </c>
      <c r="F38" s="81"/>
      <c r="G38" s="81"/>
      <c r="H38" s="81"/>
      <c r="I38" s="81"/>
      <c r="J38" s="92"/>
      <c r="K38" s="92"/>
      <c r="L38" s="186"/>
      <c r="M38" s="150"/>
      <c r="N38" s="150"/>
      <c r="O38" s="150"/>
      <c r="P38" s="155"/>
    </row>
    <row r="39" spans="1:16" ht="15.75" customHeight="1">
      <c r="A39" s="4" t="s">
        <v>394</v>
      </c>
      <c r="B39" s="152"/>
      <c r="C39" s="156"/>
      <c r="D39" s="77" t="s">
        <v>660</v>
      </c>
      <c r="E39" s="69" t="s">
        <v>661</v>
      </c>
      <c r="F39" s="81"/>
      <c r="G39" s="81"/>
      <c r="H39" s="81"/>
      <c r="I39" s="81"/>
      <c r="J39" s="92"/>
      <c r="K39" s="92"/>
      <c r="L39" s="186"/>
      <c r="M39" s="150"/>
      <c r="N39" s="150"/>
      <c r="O39" s="150"/>
      <c r="P39" s="155"/>
    </row>
    <row r="40" spans="1:16" ht="15.75" customHeight="1">
      <c r="A40" s="4" t="s">
        <v>394</v>
      </c>
      <c r="B40" s="152"/>
      <c r="C40" s="185" t="s">
        <v>676</v>
      </c>
      <c r="D40" s="69" t="s">
        <v>658</v>
      </c>
      <c r="E40" s="69" t="s">
        <v>659</v>
      </c>
      <c r="F40" s="81"/>
      <c r="G40" s="81"/>
      <c r="H40" s="81"/>
      <c r="I40" s="81"/>
      <c r="J40" s="92"/>
      <c r="K40" s="92"/>
      <c r="L40" s="186"/>
      <c r="M40" s="150"/>
      <c r="N40" s="150"/>
      <c r="O40" s="150"/>
      <c r="P40" s="155"/>
    </row>
    <row r="41" spans="1:16" ht="15.75" customHeight="1">
      <c r="A41" s="4" t="s">
        <v>394</v>
      </c>
      <c r="B41" s="152"/>
      <c r="C41" s="156"/>
      <c r="D41" s="77" t="s">
        <v>660</v>
      </c>
      <c r="E41" s="69" t="s">
        <v>661</v>
      </c>
      <c r="F41" s="81"/>
      <c r="G41" s="81"/>
      <c r="H41" s="81"/>
      <c r="I41" s="81"/>
      <c r="J41" s="92"/>
      <c r="K41" s="92"/>
      <c r="L41" s="186"/>
      <c r="M41" s="150"/>
      <c r="N41" s="150"/>
      <c r="O41" s="150"/>
      <c r="P41" s="155"/>
    </row>
    <row r="42" spans="1:16" ht="15.75" customHeight="1">
      <c r="A42" s="4" t="s">
        <v>388</v>
      </c>
      <c r="B42" s="183"/>
      <c r="C42" s="150"/>
      <c r="D42" s="150"/>
      <c r="E42" s="150"/>
      <c r="F42" s="120" t="s">
        <v>393</v>
      </c>
      <c r="G42" s="121" t="s">
        <v>393</v>
      </c>
      <c r="H42" s="121" t="s">
        <v>393</v>
      </c>
      <c r="I42" s="121" t="s">
        <v>393</v>
      </c>
      <c r="J42" s="183"/>
      <c r="K42" s="150"/>
      <c r="L42" s="150"/>
      <c r="M42" s="150"/>
      <c r="N42" s="150"/>
      <c r="O42" s="150"/>
      <c r="P42" s="155"/>
    </row>
    <row r="43" spans="1:16" ht="15.75" customHeight="1">
      <c r="A43" s="4" t="s">
        <v>394</v>
      </c>
      <c r="B43" s="184" t="s">
        <v>677</v>
      </c>
      <c r="C43" s="185" t="s">
        <v>677</v>
      </c>
      <c r="D43" s="69" t="s">
        <v>658</v>
      </c>
      <c r="E43" s="69" t="s">
        <v>659</v>
      </c>
      <c r="F43" s="81"/>
      <c r="G43" s="81"/>
      <c r="H43" s="81"/>
      <c r="I43" s="81"/>
      <c r="J43" s="92"/>
      <c r="K43" s="92"/>
      <c r="L43" s="186"/>
      <c r="M43" s="150"/>
      <c r="N43" s="150"/>
      <c r="O43" s="150"/>
      <c r="P43" s="155"/>
    </row>
    <row r="44" spans="1:16" ht="15.75" customHeight="1">
      <c r="A44" s="4" t="s">
        <v>394</v>
      </c>
      <c r="B44" s="152"/>
      <c r="C44" s="156"/>
      <c r="D44" s="77" t="s">
        <v>660</v>
      </c>
      <c r="E44" s="69" t="s">
        <v>661</v>
      </c>
      <c r="F44" s="81"/>
      <c r="G44" s="81"/>
      <c r="H44" s="81"/>
      <c r="I44" s="81"/>
      <c r="J44" s="92"/>
      <c r="K44" s="92"/>
      <c r="L44" s="186"/>
      <c r="M44" s="150"/>
      <c r="N44" s="150"/>
      <c r="O44" s="150"/>
      <c r="P44" s="155"/>
    </row>
    <row r="45" spans="1:16" ht="15.75" customHeight="1">
      <c r="A45" s="4" t="s">
        <v>388</v>
      </c>
      <c r="B45" s="183"/>
      <c r="C45" s="150"/>
      <c r="D45" s="150"/>
      <c r="E45" s="150"/>
      <c r="F45" s="120" t="s">
        <v>393</v>
      </c>
      <c r="G45" s="121" t="s">
        <v>393</v>
      </c>
      <c r="H45" s="121" t="s">
        <v>393</v>
      </c>
      <c r="I45" s="121" t="s">
        <v>393</v>
      </c>
      <c r="J45" s="183"/>
      <c r="K45" s="150"/>
      <c r="L45" s="150"/>
      <c r="M45" s="150"/>
      <c r="N45" s="150"/>
      <c r="O45" s="150"/>
      <c r="P45" s="155"/>
    </row>
    <row r="46" spans="1:16" ht="15.75" customHeight="1">
      <c r="A46" s="4" t="s">
        <v>394</v>
      </c>
      <c r="B46" s="184" t="s">
        <v>678</v>
      </c>
      <c r="C46" s="185" t="s">
        <v>679</v>
      </c>
      <c r="D46" s="69" t="s">
        <v>658</v>
      </c>
      <c r="E46" s="69" t="s">
        <v>659</v>
      </c>
      <c r="F46" s="81"/>
      <c r="G46" s="81"/>
      <c r="H46" s="81"/>
      <c r="I46" s="81"/>
      <c r="J46" s="92"/>
      <c r="K46" s="92"/>
      <c r="L46" s="186"/>
      <c r="M46" s="150"/>
      <c r="N46" s="150"/>
      <c r="O46" s="150"/>
      <c r="P46" s="155"/>
    </row>
    <row r="47" spans="1:16" ht="15.75" customHeight="1">
      <c r="A47" s="4" t="s">
        <v>394</v>
      </c>
      <c r="B47" s="152"/>
      <c r="C47" s="156"/>
      <c r="D47" s="77" t="s">
        <v>660</v>
      </c>
      <c r="E47" s="69" t="s">
        <v>661</v>
      </c>
      <c r="F47" s="81"/>
      <c r="G47" s="81"/>
      <c r="H47" s="81"/>
      <c r="I47" s="81"/>
      <c r="J47" s="92"/>
      <c r="K47" s="92"/>
      <c r="L47" s="186"/>
      <c r="M47" s="150"/>
      <c r="N47" s="150"/>
      <c r="O47" s="150"/>
      <c r="P47" s="155"/>
    </row>
    <row r="48" spans="1:16" ht="15.75" customHeight="1">
      <c r="A48" s="4" t="s">
        <v>394</v>
      </c>
      <c r="B48" s="152"/>
      <c r="C48" s="185" t="s">
        <v>674</v>
      </c>
      <c r="D48" s="69" t="s">
        <v>658</v>
      </c>
      <c r="E48" s="69" t="s">
        <v>659</v>
      </c>
      <c r="F48" s="81"/>
      <c r="G48" s="81"/>
      <c r="H48" s="81"/>
      <c r="I48" s="81"/>
      <c r="J48" s="92"/>
      <c r="K48" s="92"/>
      <c r="L48" s="186"/>
      <c r="M48" s="150"/>
      <c r="N48" s="150"/>
      <c r="O48" s="150"/>
      <c r="P48" s="155"/>
    </row>
    <row r="49" spans="1:16" ht="15.75" customHeight="1">
      <c r="A49" s="4" t="s">
        <v>394</v>
      </c>
      <c r="B49" s="152"/>
      <c r="C49" s="156"/>
      <c r="D49" s="77" t="s">
        <v>660</v>
      </c>
      <c r="E49" s="69" t="s">
        <v>661</v>
      </c>
      <c r="F49" s="81"/>
      <c r="G49" s="81"/>
      <c r="H49" s="81"/>
      <c r="I49" s="81"/>
      <c r="J49" s="92"/>
      <c r="K49" s="92"/>
      <c r="L49" s="186"/>
      <c r="M49" s="150"/>
      <c r="N49" s="150"/>
      <c r="O49" s="150"/>
      <c r="P49" s="155"/>
    </row>
    <row r="50" spans="1:16" ht="15.75" customHeight="1">
      <c r="A50" s="4" t="s">
        <v>394</v>
      </c>
      <c r="B50" s="152"/>
      <c r="C50" s="185" t="s">
        <v>680</v>
      </c>
      <c r="D50" s="69" t="s">
        <v>658</v>
      </c>
      <c r="E50" s="69" t="s">
        <v>659</v>
      </c>
      <c r="F50" s="81"/>
      <c r="G50" s="81"/>
      <c r="H50" s="81"/>
      <c r="I50" s="81"/>
      <c r="J50" s="92"/>
      <c r="K50" s="92"/>
      <c r="L50" s="186"/>
      <c r="M50" s="150"/>
      <c r="N50" s="150"/>
      <c r="O50" s="150"/>
      <c r="P50" s="155"/>
    </row>
    <row r="51" spans="1:16" ht="15.75" customHeight="1">
      <c r="A51" s="4" t="s">
        <v>394</v>
      </c>
      <c r="B51" s="152"/>
      <c r="C51" s="156"/>
      <c r="D51" s="77" t="s">
        <v>660</v>
      </c>
      <c r="E51" s="69" t="s">
        <v>661</v>
      </c>
      <c r="F51" s="81"/>
      <c r="G51" s="81"/>
      <c r="H51" s="81"/>
      <c r="I51" s="81"/>
      <c r="J51" s="92"/>
      <c r="K51" s="92"/>
      <c r="L51" s="186"/>
      <c r="M51" s="150"/>
      <c r="N51" s="150"/>
      <c r="O51" s="150"/>
      <c r="P51" s="155"/>
    </row>
    <row r="52" spans="1:16" ht="15.75" customHeight="1">
      <c r="A52" s="4" t="s">
        <v>394</v>
      </c>
      <c r="B52" s="152"/>
      <c r="C52" s="185" t="s">
        <v>681</v>
      </c>
      <c r="D52" s="69" t="s">
        <v>658</v>
      </c>
      <c r="E52" s="69" t="s">
        <v>659</v>
      </c>
      <c r="F52" s="81"/>
      <c r="G52" s="81"/>
      <c r="H52" s="81"/>
      <c r="I52" s="81"/>
      <c r="J52" s="92"/>
      <c r="K52" s="92"/>
      <c r="L52" s="186"/>
      <c r="M52" s="150"/>
      <c r="N52" s="150"/>
      <c r="O52" s="150"/>
      <c r="P52" s="155"/>
    </row>
    <row r="53" spans="1:16" ht="15.75" customHeight="1">
      <c r="A53" s="4" t="s">
        <v>394</v>
      </c>
      <c r="B53" s="152"/>
      <c r="C53" s="156"/>
      <c r="D53" s="77" t="s">
        <v>660</v>
      </c>
      <c r="E53" s="69" t="s">
        <v>661</v>
      </c>
      <c r="F53" s="81"/>
      <c r="G53" s="81"/>
      <c r="H53" s="81"/>
      <c r="I53" s="81"/>
      <c r="J53" s="92"/>
      <c r="K53" s="92"/>
      <c r="L53" s="186"/>
      <c r="M53" s="150"/>
      <c r="N53" s="150"/>
      <c r="O53" s="150"/>
      <c r="P53" s="155"/>
    </row>
    <row r="54" spans="1:16" ht="15.75" customHeight="1">
      <c r="A54" s="4" t="s">
        <v>394</v>
      </c>
      <c r="B54" s="152"/>
      <c r="C54" s="185" t="s">
        <v>682</v>
      </c>
      <c r="D54" s="69" t="s">
        <v>658</v>
      </c>
      <c r="E54" s="69" t="s">
        <v>659</v>
      </c>
      <c r="F54" s="81"/>
      <c r="G54" s="81"/>
      <c r="H54" s="81"/>
      <c r="I54" s="81"/>
      <c r="J54" s="92"/>
      <c r="K54" s="92"/>
      <c r="L54" s="186"/>
      <c r="M54" s="150"/>
      <c r="N54" s="150"/>
      <c r="O54" s="150"/>
      <c r="P54" s="155"/>
    </row>
    <row r="55" spans="1:16" ht="15.75" customHeight="1">
      <c r="A55" s="4" t="s">
        <v>394</v>
      </c>
      <c r="B55" s="152"/>
      <c r="C55" s="156"/>
      <c r="D55" s="77" t="s">
        <v>660</v>
      </c>
      <c r="E55" s="69" t="s">
        <v>661</v>
      </c>
      <c r="F55" s="81"/>
      <c r="G55" s="81"/>
      <c r="H55" s="81"/>
      <c r="I55" s="81"/>
      <c r="J55" s="92"/>
      <c r="K55" s="92"/>
      <c r="L55" s="186"/>
      <c r="M55" s="150"/>
      <c r="N55" s="150"/>
      <c r="O55" s="150"/>
      <c r="P55" s="155"/>
    </row>
    <row r="56" spans="1:16" ht="15.75" customHeight="1">
      <c r="A56" s="4" t="s">
        <v>394</v>
      </c>
      <c r="B56" s="152"/>
      <c r="C56" s="185" t="s">
        <v>683</v>
      </c>
      <c r="D56" s="69" t="s">
        <v>658</v>
      </c>
      <c r="E56" s="69" t="s">
        <v>659</v>
      </c>
      <c r="F56" s="81"/>
      <c r="G56" s="81"/>
      <c r="H56" s="81"/>
      <c r="I56" s="81"/>
      <c r="J56" s="92"/>
      <c r="K56" s="92"/>
      <c r="L56" s="186"/>
      <c r="M56" s="150"/>
      <c r="N56" s="150"/>
      <c r="O56" s="150"/>
      <c r="P56" s="155"/>
    </row>
    <row r="57" spans="1:16" ht="15.75" customHeight="1">
      <c r="A57" s="4" t="s">
        <v>394</v>
      </c>
      <c r="B57" s="152"/>
      <c r="C57" s="156"/>
      <c r="D57" s="77" t="s">
        <v>660</v>
      </c>
      <c r="E57" s="69" t="s">
        <v>661</v>
      </c>
      <c r="F57" s="81"/>
      <c r="G57" s="81"/>
      <c r="H57" s="81"/>
      <c r="I57" s="81"/>
      <c r="J57" s="92"/>
      <c r="K57" s="92"/>
      <c r="L57" s="186"/>
      <c r="M57" s="150"/>
      <c r="N57" s="150"/>
      <c r="O57" s="150"/>
      <c r="P57" s="155"/>
    </row>
    <row r="58" spans="1:16" ht="15.75" customHeight="1">
      <c r="A58" s="4" t="s">
        <v>394</v>
      </c>
      <c r="B58" s="152"/>
      <c r="C58" s="185" t="s">
        <v>684</v>
      </c>
      <c r="D58" s="69" t="s">
        <v>658</v>
      </c>
      <c r="E58" s="69" t="s">
        <v>659</v>
      </c>
      <c r="F58" s="81"/>
      <c r="G58" s="81"/>
      <c r="H58" s="81"/>
      <c r="I58" s="81"/>
      <c r="J58" s="92"/>
      <c r="K58" s="92"/>
      <c r="L58" s="186"/>
      <c r="M58" s="150"/>
      <c r="N58" s="150"/>
      <c r="O58" s="150"/>
      <c r="P58" s="155"/>
    </row>
    <row r="59" spans="1:16" ht="15.75" customHeight="1">
      <c r="A59" s="4" t="s">
        <v>394</v>
      </c>
      <c r="B59" s="152"/>
      <c r="C59" s="156"/>
      <c r="D59" s="77" t="s">
        <v>660</v>
      </c>
      <c r="E59" s="69" t="s">
        <v>661</v>
      </c>
      <c r="F59" s="81"/>
      <c r="G59" s="81"/>
      <c r="H59" s="81"/>
      <c r="I59" s="81"/>
      <c r="J59" s="92"/>
      <c r="K59" s="92"/>
      <c r="L59" s="186"/>
      <c r="M59" s="150"/>
      <c r="N59" s="150"/>
      <c r="O59" s="150"/>
      <c r="P59" s="155"/>
    </row>
    <row r="60" spans="1:16" ht="15.75" customHeight="1">
      <c r="A60" s="4" t="s">
        <v>394</v>
      </c>
      <c r="B60" s="152"/>
      <c r="C60" s="185" t="s">
        <v>678</v>
      </c>
      <c r="D60" s="69" t="s">
        <v>658</v>
      </c>
      <c r="E60" s="69" t="s">
        <v>659</v>
      </c>
      <c r="F60" s="81"/>
      <c r="G60" s="81"/>
      <c r="H60" s="81"/>
      <c r="I60" s="81"/>
      <c r="J60" s="92"/>
      <c r="K60" s="92"/>
      <c r="L60" s="186"/>
      <c r="M60" s="150"/>
      <c r="N60" s="150"/>
      <c r="O60" s="150"/>
      <c r="P60" s="155"/>
    </row>
    <row r="61" spans="1:16" ht="15.75" customHeight="1">
      <c r="A61" s="4" t="s">
        <v>394</v>
      </c>
      <c r="B61" s="152"/>
      <c r="C61" s="156"/>
      <c r="D61" s="77" t="s">
        <v>660</v>
      </c>
      <c r="E61" s="69" t="s">
        <v>661</v>
      </c>
      <c r="F61" s="81"/>
      <c r="G61" s="81"/>
      <c r="H61" s="81"/>
      <c r="I61" s="81"/>
      <c r="J61" s="92"/>
      <c r="K61" s="92"/>
      <c r="L61" s="186"/>
      <c r="M61" s="150"/>
      <c r="N61" s="150"/>
      <c r="O61" s="150"/>
      <c r="P61" s="155"/>
    </row>
    <row r="62" spans="1:16" ht="15.75" customHeight="1">
      <c r="A62" s="4" t="s">
        <v>388</v>
      </c>
      <c r="B62" s="183"/>
      <c r="C62" s="150"/>
      <c r="D62" s="150"/>
      <c r="E62" s="150"/>
      <c r="F62" s="120" t="s">
        <v>393</v>
      </c>
      <c r="G62" s="121" t="s">
        <v>393</v>
      </c>
      <c r="H62" s="121" t="s">
        <v>393</v>
      </c>
      <c r="I62" s="121" t="s">
        <v>393</v>
      </c>
      <c r="J62" s="183"/>
      <c r="K62" s="150"/>
      <c r="L62" s="150"/>
      <c r="M62" s="150"/>
      <c r="N62" s="150"/>
      <c r="O62" s="150"/>
      <c r="P62" s="155"/>
    </row>
    <row r="63" spans="1:16" ht="15.75" customHeight="1">
      <c r="A63" s="4" t="s">
        <v>394</v>
      </c>
      <c r="B63" s="184" t="s">
        <v>685</v>
      </c>
      <c r="C63" s="185" t="s">
        <v>685</v>
      </c>
      <c r="D63" s="69" t="s">
        <v>658</v>
      </c>
      <c r="E63" s="69" t="s">
        <v>659</v>
      </c>
      <c r="F63" s="81"/>
      <c r="G63" s="81"/>
      <c r="H63" s="81"/>
      <c r="I63" s="81"/>
      <c r="J63" s="92"/>
      <c r="K63" s="92"/>
      <c r="L63" s="186"/>
      <c r="M63" s="150"/>
      <c r="N63" s="150"/>
      <c r="O63" s="150"/>
      <c r="P63" s="155"/>
    </row>
    <row r="64" spans="1:16" ht="15.75" customHeight="1">
      <c r="A64" s="4" t="s">
        <v>394</v>
      </c>
      <c r="B64" s="156"/>
      <c r="C64" s="156"/>
      <c r="D64" s="69" t="s">
        <v>660</v>
      </c>
      <c r="E64" s="69" t="s">
        <v>661</v>
      </c>
      <c r="F64" s="81"/>
      <c r="G64" s="81"/>
      <c r="H64" s="81"/>
      <c r="I64" s="81"/>
      <c r="J64" s="92"/>
      <c r="K64" s="92"/>
      <c r="L64" s="186"/>
      <c r="M64" s="150"/>
      <c r="N64" s="150"/>
      <c r="O64" s="150"/>
      <c r="P64" s="15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sheetData>
  <mergeCells count="93">
    <mergeCell ref="L64:P64"/>
    <mergeCell ref="L33:P33"/>
    <mergeCell ref="C38:C39"/>
    <mergeCell ref="C40:C41"/>
    <mergeCell ref="J62:P62"/>
    <mergeCell ref="L63:P63"/>
    <mergeCell ref="L58:P58"/>
    <mergeCell ref="L59:P59"/>
    <mergeCell ref="L60:P60"/>
    <mergeCell ref="L61:P61"/>
    <mergeCell ref="L56:P56"/>
    <mergeCell ref="L57:P57"/>
    <mergeCell ref="C52:C53"/>
    <mergeCell ref="C54:C55"/>
    <mergeCell ref="L40:P40"/>
    <mergeCell ref="L41:P41"/>
    <mergeCell ref="L28:P28"/>
    <mergeCell ref="L29:P29"/>
    <mergeCell ref="L30:P30"/>
    <mergeCell ref="L31:P31"/>
    <mergeCell ref="J32:P32"/>
    <mergeCell ref="L23:P23"/>
    <mergeCell ref="L24:P24"/>
    <mergeCell ref="L25:P25"/>
    <mergeCell ref="L26:P26"/>
    <mergeCell ref="L27:P27"/>
    <mergeCell ref="B12:C12"/>
    <mergeCell ref="B13:B14"/>
    <mergeCell ref="L14:P14"/>
    <mergeCell ref="J12:P12"/>
    <mergeCell ref="L13:P13"/>
    <mergeCell ref="C13:C14"/>
    <mergeCell ref="K1:O8"/>
    <mergeCell ref="L9:P9"/>
    <mergeCell ref="J10:P10"/>
    <mergeCell ref="L11:P11"/>
    <mergeCell ref="J15:P15"/>
    <mergeCell ref="L16:P16"/>
    <mergeCell ref="L17:P17"/>
    <mergeCell ref="L18:P18"/>
    <mergeCell ref="L19:P19"/>
    <mergeCell ref="L20:P20"/>
    <mergeCell ref="L21:P21"/>
    <mergeCell ref="L22:P22"/>
    <mergeCell ref="L53:P53"/>
    <mergeCell ref="L54:P54"/>
    <mergeCell ref="L55:P55"/>
    <mergeCell ref="L48:P48"/>
    <mergeCell ref="L49:P49"/>
    <mergeCell ref="L50:P50"/>
    <mergeCell ref="L51:P51"/>
    <mergeCell ref="L52:P52"/>
    <mergeCell ref="L34:P34"/>
    <mergeCell ref="J35:P35"/>
    <mergeCell ref="L36:P36"/>
    <mergeCell ref="L37:P37"/>
    <mergeCell ref="L38:P38"/>
    <mergeCell ref="L39:P39"/>
    <mergeCell ref="J42:P42"/>
    <mergeCell ref="L43:P43"/>
    <mergeCell ref="L44:P44"/>
    <mergeCell ref="J45:P45"/>
    <mergeCell ref="L46:P46"/>
    <mergeCell ref="L47:P47"/>
    <mergeCell ref="C43:C44"/>
    <mergeCell ref="B45:E45"/>
    <mergeCell ref="C46:C47"/>
    <mergeCell ref="C48:C49"/>
    <mergeCell ref="B63:B64"/>
    <mergeCell ref="C36:C37"/>
    <mergeCell ref="B42:E42"/>
    <mergeCell ref="C56:C57"/>
    <mergeCell ref="C58:C59"/>
    <mergeCell ref="C60:C61"/>
    <mergeCell ref="B62:E62"/>
    <mergeCell ref="C63:C64"/>
    <mergeCell ref="B32:E32"/>
    <mergeCell ref="B33:B34"/>
    <mergeCell ref="C33:C34"/>
    <mergeCell ref="B35:E35"/>
    <mergeCell ref="C50:C51"/>
    <mergeCell ref="B36:B41"/>
    <mergeCell ref="B43:B44"/>
    <mergeCell ref="B46:B61"/>
    <mergeCell ref="B15:E15"/>
    <mergeCell ref="B16:B31"/>
    <mergeCell ref="C16:C17"/>
    <mergeCell ref="C18:C19"/>
    <mergeCell ref="C20:C23"/>
    <mergeCell ref="C24:C25"/>
    <mergeCell ref="C26:C27"/>
    <mergeCell ref="C28:C29"/>
    <mergeCell ref="C30:C31"/>
  </mergeCells>
  <dataValidations count="1">
    <dataValidation type="list" allowBlank="1" showErrorMessage="1" sqref="F11:I11 F13:I14 F16:I31 F33:I34 F36:I41 F43:I44 F46:I61 F63:I64" xr:uid="{00000000-0002-0000-0E00-000000000000}">
      <formula1>"Pass,Fail,N/A,Blocked"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0000"/>
    <outlinePr summaryBelow="0" summaryRight="0"/>
  </sheetPr>
  <dimension ref="A1:P996"/>
  <sheetViews>
    <sheetView workbookViewId="0">
      <pane ySplit="1" topLeftCell="A2" activePane="bottomLeft" state="frozen"/>
      <selection pane="bottomLeft" activeCell="B3" sqref="B3"/>
    </sheetView>
  </sheetViews>
  <sheetFormatPr defaultColWidth="12.59765625" defaultRowHeight="15" customHeight="1"/>
  <cols>
    <col min="1" max="1" width="13.3984375" customWidth="1"/>
    <col min="2" max="2" width="20.3984375" customWidth="1"/>
    <col min="3" max="3" width="58.59765625" customWidth="1"/>
    <col min="4" max="4" width="19" customWidth="1"/>
    <col min="5" max="6" width="16.1328125" customWidth="1"/>
    <col min="7" max="7" width="27.3984375" customWidth="1"/>
  </cols>
  <sheetData>
    <row r="1" spans="1:16" ht="22.5" customHeight="1">
      <c r="A1" s="15" t="s">
        <v>686</v>
      </c>
      <c r="B1" s="15" t="s">
        <v>687</v>
      </c>
      <c r="C1" s="16" t="s">
        <v>391</v>
      </c>
      <c r="D1" s="16" t="s">
        <v>688</v>
      </c>
      <c r="E1" s="124" t="s">
        <v>112</v>
      </c>
      <c r="F1" s="124" t="s">
        <v>113</v>
      </c>
      <c r="G1" s="124" t="s">
        <v>689</v>
      </c>
      <c r="H1" s="125"/>
      <c r="I1" s="125"/>
      <c r="J1" s="125"/>
      <c r="K1" s="125"/>
      <c r="L1" s="125"/>
      <c r="M1" s="125"/>
      <c r="N1" s="125"/>
      <c r="O1" s="125"/>
      <c r="P1" s="125"/>
    </row>
    <row r="2" spans="1:16" ht="22.5" hidden="1" customHeight="1">
      <c r="A2" s="126" t="s">
        <v>585</v>
      </c>
      <c r="B2" s="32" t="s">
        <v>690</v>
      </c>
      <c r="C2" s="127" t="e">
        <f t="shared" ref="C2:C11" si="0">#REF!</f>
        <v>#REF!</v>
      </c>
      <c r="D2" s="32"/>
      <c r="E2" s="32"/>
      <c r="F2" s="32"/>
      <c r="G2" s="32"/>
    </row>
    <row r="3" spans="1:16" ht="22.5" hidden="1" customHeight="1">
      <c r="A3" s="128" t="s">
        <v>586</v>
      </c>
      <c r="B3" s="32" t="s">
        <v>691</v>
      </c>
      <c r="C3" s="127" t="e">
        <f t="shared" si="0"/>
        <v>#REF!</v>
      </c>
      <c r="D3" s="32"/>
      <c r="E3" s="32"/>
      <c r="F3" s="32"/>
      <c r="G3" s="32"/>
    </row>
    <row r="4" spans="1:16" ht="22.5" hidden="1" customHeight="1">
      <c r="A4" s="128" t="s">
        <v>587</v>
      </c>
      <c r="B4" s="32" t="s">
        <v>692</v>
      </c>
      <c r="C4" s="127" t="e">
        <f t="shared" si="0"/>
        <v>#REF!</v>
      </c>
      <c r="D4" s="32"/>
      <c r="E4" s="32"/>
      <c r="F4" s="32"/>
      <c r="G4" s="32"/>
    </row>
    <row r="5" spans="1:16" ht="22.5" hidden="1" customHeight="1">
      <c r="A5" s="128" t="s">
        <v>588</v>
      </c>
      <c r="B5" s="32" t="s">
        <v>693</v>
      </c>
      <c r="C5" s="127" t="e">
        <f t="shared" si="0"/>
        <v>#REF!</v>
      </c>
      <c r="D5" s="32"/>
      <c r="E5" s="32"/>
      <c r="F5" s="32"/>
      <c r="G5" s="32"/>
    </row>
    <row r="6" spans="1:16" ht="22.5" hidden="1" customHeight="1">
      <c r="A6" s="128" t="s">
        <v>589</v>
      </c>
      <c r="B6" s="32" t="s">
        <v>694</v>
      </c>
      <c r="C6" s="127" t="e">
        <f t="shared" si="0"/>
        <v>#REF!</v>
      </c>
      <c r="D6" s="32"/>
      <c r="E6" s="32"/>
      <c r="F6" s="32"/>
      <c r="G6" s="32"/>
    </row>
    <row r="7" spans="1:16" ht="22.5" hidden="1" customHeight="1">
      <c r="A7" s="128" t="s">
        <v>590</v>
      </c>
      <c r="B7" s="32" t="s">
        <v>695</v>
      </c>
      <c r="C7" s="127" t="e">
        <f t="shared" si="0"/>
        <v>#REF!</v>
      </c>
      <c r="D7" s="32"/>
      <c r="E7" s="32"/>
      <c r="F7" s="32"/>
      <c r="G7" s="32"/>
    </row>
    <row r="8" spans="1:16" ht="22.5" hidden="1" customHeight="1">
      <c r="A8" s="128" t="s">
        <v>591</v>
      </c>
      <c r="B8" s="32" t="s">
        <v>696</v>
      </c>
      <c r="C8" s="127" t="e">
        <f t="shared" si="0"/>
        <v>#REF!</v>
      </c>
      <c r="D8" s="32"/>
      <c r="E8" s="32"/>
      <c r="F8" s="32"/>
      <c r="G8" s="32"/>
    </row>
    <row r="9" spans="1:16" ht="22.5" hidden="1" customHeight="1">
      <c r="A9" s="128" t="s">
        <v>592</v>
      </c>
      <c r="B9" s="32" t="s">
        <v>697</v>
      </c>
      <c r="C9" s="127" t="e">
        <f t="shared" si="0"/>
        <v>#REF!</v>
      </c>
      <c r="D9" s="32"/>
      <c r="E9" s="32"/>
      <c r="F9" s="32"/>
      <c r="G9" s="32"/>
    </row>
    <row r="10" spans="1:16" ht="22.5" hidden="1" customHeight="1">
      <c r="A10" s="128" t="s">
        <v>593</v>
      </c>
      <c r="B10" s="32" t="s">
        <v>698</v>
      </c>
      <c r="C10" s="127" t="e">
        <f t="shared" si="0"/>
        <v>#REF!</v>
      </c>
      <c r="D10" s="32"/>
      <c r="E10" s="32"/>
      <c r="F10" s="32"/>
      <c r="G10" s="32"/>
    </row>
    <row r="11" spans="1:16" ht="22.5" hidden="1" customHeight="1">
      <c r="A11" s="128" t="s">
        <v>594</v>
      </c>
      <c r="B11" s="32" t="s">
        <v>699</v>
      </c>
      <c r="C11" s="127" t="e">
        <f t="shared" si="0"/>
        <v>#REF!</v>
      </c>
      <c r="D11" s="32"/>
      <c r="E11" s="32"/>
      <c r="F11" s="32"/>
      <c r="G11" s="32"/>
    </row>
    <row r="12" spans="1:16" ht="22.5" hidden="1" customHeight="1">
      <c r="A12" s="128" t="s">
        <v>595</v>
      </c>
      <c r="B12" s="32" t="s">
        <v>700</v>
      </c>
      <c r="C12" s="129"/>
      <c r="D12" s="130"/>
      <c r="E12" s="32"/>
      <c r="F12" s="32"/>
      <c r="G12" s="32"/>
    </row>
    <row r="13" spans="1:16" ht="22.5" hidden="1" customHeight="1">
      <c r="A13" s="128" t="s">
        <v>596</v>
      </c>
      <c r="B13" s="32" t="s">
        <v>701</v>
      </c>
      <c r="C13" s="127"/>
      <c r="D13" s="32"/>
      <c r="E13" s="32"/>
      <c r="F13" s="32"/>
      <c r="G13" s="32"/>
    </row>
    <row r="14" spans="1:16" ht="22.5" hidden="1" customHeight="1">
      <c r="A14" s="128" t="s">
        <v>597</v>
      </c>
      <c r="B14" s="32" t="s">
        <v>702</v>
      </c>
      <c r="C14" s="127"/>
      <c r="D14" s="32"/>
      <c r="E14" s="32"/>
      <c r="F14" s="32"/>
      <c r="G14" s="32"/>
    </row>
    <row r="15" spans="1:16" ht="22.5" hidden="1" customHeight="1">
      <c r="A15" s="128" t="s">
        <v>598</v>
      </c>
      <c r="B15" s="32" t="s">
        <v>703</v>
      </c>
      <c r="C15" s="127"/>
      <c r="D15" s="32"/>
      <c r="E15" s="32"/>
      <c r="F15" s="32"/>
      <c r="G15" s="32"/>
    </row>
    <row r="16" spans="1:16" ht="22.5" hidden="1" customHeight="1">
      <c r="A16" s="128" t="s">
        <v>599</v>
      </c>
      <c r="B16" s="32" t="s">
        <v>704</v>
      </c>
      <c r="C16" s="127"/>
      <c r="D16" s="32"/>
      <c r="E16" s="32"/>
      <c r="F16" s="32"/>
      <c r="G16" s="32"/>
    </row>
    <row r="17" spans="1:7" ht="22.5" hidden="1" customHeight="1">
      <c r="A17" s="128" t="s">
        <v>600</v>
      </c>
      <c r="B17" s="32" t="s">
        <v>705</v>
      </c>
      <c r="C17" s="127"/>
      <c r="D17" s="32"/>
      <c r="E17" s="32"/>
      <c r="F17" s="32"/>
      <c r="G17" s="32"/>
    </row>
    <row r="18" spans="1:7" ht="22.5" hidden="1" customHeight="1">
      <c r="A18" s="128" t="s">
        <v>601</v>
      </c>
      <c r="B18" s="32" t="s">
        <v>706</v>
      </c>
      <c r="C18" s="127"/>
      <c r="D18" s="32"/>
      <c r="E18" s="32"/>
      <c r="F18" s="32"/>
      <c r="G18" s="32"/>
    </row>
    <row r="19" spans="1:7" ht="22.5" hidden="1" customHeight="1">
      <c r="A19" s="128" t="s">
        <v>602</v>
      </c>
      <c r="B19" s="32" t="s">
        <v>707</v>
      </c>
      <c r="C19" s="127" t="e">
        <f t="shared" ref="C19:C26" si="1">#REF!</f>
        <v>#REF!</v>
      </c>
      <c r="D19" s="32"/>
      <c r="E19" s="32"/>
      <c r="F19" s="32"/>
      <c r="G19" s="32"/>
    </row>
    <row r="20" spans="1:7" ht="22.5" hidden="1" customHeight="1">
      <c r="A20" s="128" t="s">
        <v>603</v>
      </c>
      <c r="B20" s="32" t="s">
        <v>708</v>
      </c>
      <c r="C20" s="127" t="e">
        <f t="shared" si="1"/>
        <v>#REF!</v>
      </c>
      <c r="D20" s="32"/>
      <c r="E20" s="32"/>
      <c r="F20" s="32"/>
      <c r="G20" s="32"/>
    </row>
    <row r="21" spans="1:7" ht="22.5" hidden="1" customHeight="1">
      <c r="A21" s="128" t="s">
        <v>604</v>
      </c>
      <c r="B21" s="32" t="s">
        <v>709</v>
      </c>
      <c r="C21" s="127" t="e">
        <f t="shared" si="1"/>
        <v>#REF!</v>
      </c>
      <c r="D21" s="32"/>
      <c r="E21" s="32"/>
      <c r="F21" s="32"/>
      <c r="G21" s="32"/>
    </row>
    <row r="22" spans="1:7" ht="22.5" hidden="1" customHeight="1">
      <c r="A22" s="128" t="s">
        <v>605</v>
      </c>
      <c r="B22" s="32" t="s">
        <v>710</v>
      </c>
      <c r="C22" s="127" t="e">
        <f t="shared" si="1"/>
        <v>#REF!</v>
      </c>
      <c r="D22" s="32"/>
      <c r="E22" s="32"/>
      <c r="F22" s="32"/>
      <c r="G22" s="32"/>
    </row>
    <row r="23" spans="1:7" ht="22.5" hidden="1" customHeight="1">
      <c r="A23" s="128" t="s">
        <v>606</v>
      </c>
      <c r="B23" s="32" t="s">
        <v>711</v>
      </c>
      <c r="C23" s="127" t="e">
        <f t="shared" si="1"/>
        <v>#REF!</v>
      </c>
      <c r="D23" s="32"/>
      <c r="E23" s="32"/>
      <c r="F23" s="32"/>
      <c r="G23" s="32"/>
    </row>
    <row r="24" spans="1:7" ht="22.5" hidden="1" customHeight="1">
      <c r="A24" s="128" t="s">
        <v>607</v>
      </c>
      <c r="B24" s="32" t="s">
        <v>712</v>
      </c>
      <c r="C24" s="127" t="e">
        <f t="shared" si="1"/>
        <v>#REF!</v>
      </c>
      <c r="D24" s="32"/>
      <c r="E24" s="32"/>
      <c r="F24" s="32"/>
      <c r="G24" s="32"/>
    </row>
    <row r="25" spans="1:7" ht="22.5" hidden="1" customHeight="1">
      <c r="A25" s="128" t="s">
        <v>608</v>
      </c>
      <c r="B25" s="32" t="s">
        <v>713</v>
      </c>
      <c r="C25" s="127" t="e">
        <f t="shared" si="1"/>
        <v>#REF!</v>
      </c>
      <c r="D25" s="32"/>
      <c r="E25" s="32"/>
      <c r="F25" s="32"/>
      <c r="G25" s="32"/>
    </row>
    <row r="26" spans="1:7" ht="22.5" hidden="1" customHeight="1">
      <c r="A26" s="128" t="s">
        <v>610</v>
      </c>
      <c r="B26" s="32" t="s">
        <v>714</v>
      </c>
      <c r="C26" s="127" t="e">
        <f t="shared" si="1"/>
        <v>#REF!</v>
      </c>
      <c r="D26" s="32"/>
      <c r="E26" s="32"/>
      <c r="F26" s="32"/>
      <c r="G26" s="32"/>
    </row>
    <row r="27" spans="1:7" ht="22.5" hidden="1" customHeight="1">
      <c r="A27" s="128" t="s">
        <v>612</v>
      </c>
      <c r="B27" s="32" t="s">
        <v>715</v>
      </c>
      <c r="C27" s="127"/>
      <c r="D27" s="32"/>
      <c r="E27" s="32"/>
      <c r="F27" s="32"/>
      <c r="G27" s="32"/>
    </row>
    <row r="28" spans="1:7" ht="22.5" hidden="1" customHeight="1">
      <c r="A28" s="128" t="s">
        <v>613</v>
      </c>
      <c r="B28" s="32" t="s">
        <v>716</v>
      </c>
      <c r="C28" s="129"/>
      <c r="D28" s="130"/>
      <c r="E28" s="32"/>
      <c r="F28" s="32"/>
      <c r="G28" s="32"/>
    </row>
    <row r="29" spans="1:7" ht="22.5" hidden="1" customHeight="1">
      <c r="A29" s="128" t="s">
        <v>614</v>
      </c>
      <c r="B29" s="32" t="s">
        <v>717</v>
      </c>
      <c r="C29" s="127"/>
      <c r="D29" s="32"/>
      <c r="E29" s="32"/>
      <c r="F29" s="32"/>
      <c r="G29" s="32"/>
    </row>
    <row r="30" spans="1:7" ht="22.5" hidden="1" customHeight="1">
      <c r="A30" s="128" t="s">
        <v>615</v>
      </c>
      <c r="B30" s="32" t="s">
        <v>718</v>
      </c>
      <c r="C30" s="127"/>
      <c r="D30" s="32"/>
      <c r="E30" s="32"/>
      <c r="F30" s="32"/>
      <c r="G30" s="32"/>
    </row>
    <row r="31" spans="1:7" ht="22.5" hidden="1" customHeight="1">
      <c r="A31" s="128" t="s">
        <v>616</v>
      </c>
      <c r="B31" s="32" t="s">
        <v>719</v>
      </c>
      <c r="C31" s="127"/>
      <c r="D31" s="32"/>
      <c r="E31" s="32"/>
      <c r="F31" s="32"/>
      <c r="G31" s="32"/>
    </row>
    <row r="32" spans="1:7" ht="22.5" hidden="1" customHeight="1">
      <c r="A32" s="128" t="s">
        <v>617</v>
      </c>
      <c r="B32" s="32" t="s">
        <v>720</v>
      </c>
      <c r="C32" s="127" t="e">
        <f t="shared" ref="C32:C45" si="2">#REF!</f>
        <v>#REF!</v>
      </c>
      <c r="D32" s="32"/>
      <c r="E32" s="32"/>
      <c r="F32" s="32"/>
      <c r="G32" s="32"/>
    </row>
    <row r="33" spans="1:7" ht="22.5" hidden="1" customHeight="1">
      <c r="A33" s="128" t="s">
        <v>622</v>
      </c>
      <c r="B33" s="32" t="s">
        <v>721</v>
      </c>
      <c r="C33" s="127" t="e">
        <f t="shared" si="2"/>
        <v>#REF!</v>
      </c>
      <c r="D33" s="32"/>
      <c r="E33" s="32"/>
      <c r="F33" s="32"/>
      <c r="G33" s="32"/>
    </row>
    <row r="34" spans="1:7" ht="22.5" hidden="1" customHeight="1">
      <c r="A34" s="128" t="s">
        <v>623</v>
      </c>
      <c r="B34" s="32" t="s">
        <v>722</v>
      </c>
      <c r="C34" s="127" t="e">
        <f t="shared" si="2"/>
        <v>#REF!</v>
      </c>
      <c r="D34" s="32"/>
      <c r="E34" s="32"/>
      <c r="F34" s="32"/>
      <c r="G34" s="32"/>
    </row>
    <row r="35" spans="1:7" ht="22.5" hidden="1" customHeight="1">
      <c r="A35" s="128" t="s">
        <v>624</v>
      </c>
      <c r="B35" s="32" t="s">
        <v>723</v>
      </c>
      <c r="C35" s="127" t="e">
        <f t="shared" si="2"/>
        <v>#REF!</v>
      </c>
      <c r="D35" s="32"/>
      <c r="E35" s="32"/>
      <c r="F35" s="32"/>
      <c r="G35" s="32"/>
    </row>
    <row r="36" spans="1:7" ht="22.5" hidden="1" customHeight="1">
      <c r="A36" s="128" t="s">
        <v>625</v>
      </c>
      <c r="B36" s="32" t="s">
        <v>724</v>
      </c>
      <c r="C36" s="127" t="e">
        <f t="shared" si="2"/>
        <v>#REF!</v>
      </c>
      <c r="D36" s="32"/>
      <c r="E36" s="32"/>
      <c r="F36" s="32"/>
      <c r="G36" s="32"/>
    </row>
    <row r="37" spans="1:7" ht="22.5" hidden="1" customHeight="1">
      <c r="A37" s="128" t="s">
        <v>626</v>
      </c>
      <c r="B37" s="32" t="s">
        <v>725</v>
      </c>
      <c r="C37" s="127" t="e">
        <f t="shared" si="2"/>
        <v>#REF!</v>
      </c>
      <c r="D37" s="32"/>
      <c r="E37" s="32"/>
      <c r="F37" s="32"/>
      <c r="G37" s="32"/>
    </row>
    <row r="38" spans="1:7" ht="22.5" hidden="1" customHeight="1">
      <c r="A38" s="128" t="s">
        <v>627</v>
      </c>
      <c r="B38" s="32" t="s">
        <v>726</v>
      </c>
      <c r="C38" s="127" t="e">
        <f t="shared" si="2"/>
        <v>#REF!</v>
      </c>
      <c r="D38" s="32"/>
      <c r="E38" s="32"/>
      <c r="F38" s="32"/>
      <c r="G38" s="32"/>
    </row>
    <row r="39" spans="1:7" ht="22.5" hidden="1" customHeight="1">
      <c r="A39" s="128" t="s">
        <v>630</v>
      </c>
      <c r="B39" s="32" t="s">
        <v>727</v>
      </c>
      <c r="C39" s="129" t="e">
        <f t="shared" si="2"/>
        <v>#REF!</v>
      </c>
      <c r="D39" s="32"/>
      <c r="E39" s="32"/>
      <c r="F39" s="32"/>
      <c r="G39" s="32"/>
    </row>
    <row r="40" spans="1:7" ht="22.5" hidden="1" customHeight="1">
      <c r="A40" s="128" t="s">
        <v>632</v>
      </c>
      <c r="B40" s="32" t="s">
        <v>728</v>
      </c>
      <c r="C40" s="127" t="e">
        <f t="shared" si="2"/>
        <v>#REF!</v>
      </c>
      <c r="D40" s="32"/>
      <c r="E40" s="32"/>
      <c r="F40" s="32"/>
      <c r="G40" s="32"/>
    </row>
    <row r="41" spans="1:7" ht="22.5" hidden="1" customHeight="1">
      <c r="A41" s="128" t="s">
        <v>633</v>
      </c>
      <c r="B41" s="32" t="s">
        <v>729</v>
      </c>
      <c r="C41" s="127" t="e">
        <f t="shared" si="2"/>
        <v>#REF!</v>
      </c>
      <c r="D41" s="32"/>
      <c r="E41" s="32"/>
      <c r="F41" s="32"/>
      <c r="G41" s="32"/>
    </row>
    <row r="42" spans="1:7" ht="22.5" hidden="1" customHeight="1">
      <c r="A42" s="128" t="s">
        <v>634</v>
      </c>
      <c r="B42" s="32" t="s">
        <v>730</v>
      </c>
      <c r="C42" s="127" t="e">
        <f t="shared" si="2"/>
        <v>#REF!</v>
      </c>
      <c r="D42" s="32"/>
      <c r="E42" s="32"/>
      <c r="F42" s="32"/>
      <c r="G42" s="32"/>
    </row>
    <row r="43" spans="1:7" ht="22.5" hidden="1" customHeight="1">
      <c r="A43" s="128" t="s">
        <v>635</v>
      </c>
      <c r="B43" s="32" t="s">
        <v>731</v>
      </c>
      <c r="C43" s="127" t="e">
        <f t="shared" si="2"/>
        <v>#REF!</v>
      </c>
      <c r="D43" s="32"/>
      <c r="E43" s="32"/>
      <c r="F43" s="32"/>
      <c r="G43" s="32"/>
    </row>
    <row r="44" spans="1:7" ht="22.5" hidden="1" customHeight="1">
      <c r="A44" s="128" t="s">
        <v>636</v>
      </c>
      <c r="B44" s="32" t="s">
        <v>732</v>
      </c>
      <c r="C44" s="127" t="e">
        <f t="shared" si="2"/>
        <v>#REF!</v>
      </c>
      <c r="D44" s="32"/>
      <c r="E44" s="32"/>
      <c r="F44" s="32"/>
      <c r="G44" s="32"/>
    </row>
    <row r="45" spans="1:7" ht="22.5" hidden="1" customHeight="1">
      <c r="A45" s="128" t="s">
        <v>637</v>
      </c>
      <c r="B45" s="32" t="s">
        <v>733</v>
      </c>
      <c r="C45" s="127" t="e">
        <f t="shared" si="2"/>
        <v>#REF!</v>
      </c>
      <c r="D45" s="32"/>
      <c r="E45" s="32"/>
      <c r="F45" s="32"/>
      <c r="G45" s="32"/>
    </row>
    <row r="46" spans="1:7" ht="22.5" hidden="1" customHeight="1">
      <c r="A46" s="128" t="s">
        <v>638</v>
      </c>
      <c r="B46" s="32" t="s">
        <v>734</v>
      </c>
      <c r="C46" s="127"/>
      <c r="D46" s="32"/>
      <c r="E46" s="32"/>
      <c r="F46" s="32"/>
      <c r="G46" s="32"/>
    </row>
    <row r="47" spans="1:7" ht="22.5" hidden="1" customHeight="1">
      <c r="A47" s="128" t="s">
        <v>639</v>
      </c>
      <c r="B47" s="32" t="s">
        <v>735</v>
      </c>
      <c r="C47" s="127"/>
      <c r="D47" s="32"/>
      <c r="E47" s="32"/>
      <c r="F47" s="32"/>
      <c r="G47" s="32"/>
    </row>
    <row r="48" spans="1:7" ht="22.5" hidden="1" customHeight="1">
      <c r="A48" s="128" t="s">
        <v>640</v>
      </c>
      <c r="B48" s="32" t="s">
        <v>736</v>
      </c>
      <c r="C48" s="129"/>
      <c r="D48" s="130"/>
      <c r="E48" s="32"/>
      <c r="F48" s="32"/>
      <c r="G48" s="32"/>
    </row>
    <row r="49" spans="1:7" ht="22.5" hidden="1" customHeight="1">
      <c r="A49" s="128" t="s">
        <v>641</v>
      </c>
      <c r="B49" s="32" t="s">
        <v>737</v>
      </c>
      <c r="C49" s="127"/>
      <c r="D49" s="32"/>
      <c r="E49" s="32"/>
      <c r="F49" s="32"/>
      <c r="G49" s="32"/>
    </row>
    <row r="50" spans="1:7" ht="22.5" hidden="1" customHeight="1">
      <c r="A50" s="128" t="s">
        <v>642</v>
      </c>
      <c r="B50" s="32" t="s">
        <v>738</v>
      </c>
      <c r="C50" s="127"/>
      <c r="D50" s="32"/>
      <c r="E50" s="32"/>
      <c r="F50" s="32"/>
      <c r="G50" s="32"/>
    </row>
    <row r="51" spans="1:7" ht="22.5" hidden="1" customHeight="1">
      <c r="A51" s="128" t="s">
        <v>643</v>
      </c>
      <c r="B51" s="32" t="s">
        <v>739</v>
      </c>
      <c r="C51" s="127"/>
      <c r="D51" s="32"/>
      <c r="E51" s="32"/>
      <c r="F51" s="32"/>
      <c r="G51" s="32"/>
    </row>
    <row r="52" spans="1:7" ht="22.5" hidden="1" customHeight="1">
      <c r="A52" s="128" t="s">
        <v>644</v>
      </c>
      <c r="B52" s="32" t="s">
        <v>740</v>
      </c>
      <c r="C52" s="129"/>
      <c r="D52" s="130"/>
      <c r="E52" s="32"/>
      <c r="F52" s="32"/>
      <c r="G52" s="32"/>
    </row>
    <row r="53" spans="1:7" ht="22.5" hidden="1" customHeight="1">
      <c r="A53" s="128" t="s">
        <v>645</v>
      </c>
      <c r="B53" s="32" t="s">
        <v>741</v>
      </c>
      <c r="C53" s="129"/>
      <c r="D53" s="130"/>
      <c r="E53" s="32"/>
      <c r="F53" s="32"/>
      <c r="G53" s="32"/>
    </row>
    <row r="54" spans="1:7" ht="22.5" hidden="1" customHeight="1">
      <c r="A54" s="128" t="s">
        <v>646</v>
      </c>
      <c r="B54" s="32" t="s">
        <v>742</v>
      </c>
      <c r="C54" s="129"/>
      <c r="D54" s="130"/>
      <c r="E54" s="32"/>
      <c r="F54" s="32"/>
      <c r="G54" s="32"/>
    </row>
    <row r="55" spans="1:7" ht="22.5" hidden="1" customHeight="1">
      <c r="A55" s="128" t="s">
        <v>647</v>
      </c>
      <c r="B55" s="32" t="s">
        <v>743</v>
      </c>
      <c r="C55" s="127" t="e">
        <f t="shared" ref="C55:C64" si="3">#REF!</f>
        <v>#REF!</v>
      </c>
      <c r="D55" s="32"/>
      <c r="E55" s="32"/>
      <c r="F55" s="32"/>
      <c r="G55" s="32"/>
    </row>
    <row r="56" spans="1:7" ht="22.5" hidden="1" customHeight="1">
      <c r="A56" s="128" t="s">
        <v>648</v>
      </c>
      <c r="B56" s="32" t="s">
        <v>744</v>
      </c>
      <c r="C56" s="127" t="e">
        <f t="shared" si="3"/>
        <v>#REF!</v>
      </c>
      <c r="D56" s="32"/>
      <c r="E56" s="32"/>
      <c r="F56" s="32"/>
      <c r="G56" s="32"/>
    </row>
    <row r="57" spans="1:7" ht="22.5" hidden="1" customHeight="1">
      <c r="A57" s="128" t="s">
        <v>649</v>
      </c>
      <c r="B57" s="32" t="s">
        <v>745</v>
      </c>
      <c r="C57" s="127" t="e">
        <f t="shared" si="3"/>
        <v>#REF!</v>
      </c>
      <c r="D57" s="32"/>
      <c r="E57" s="32"/>
      <c r="F57" s="32"/>
      <c r="G57" s="32"/>
    </row>
    <row r="58" spans="1:7" ht="22.5" hidden="1" customHeight="1">
      <c r="A58" s="128" t="s">
        <v>746</v>
      </c>
      <c r="B58" s="32" t="s">
        <v>747</v>
      </c>
      <c r="C58" s="127" t="e">
        <f t="shared" si="3"/>
        <v>#REF!</v>
      </c>
      <c r="D58" s="32"/>
      <c r="E58" s="32"/>
      <c r="F58" s="32"/>
      <c r="G58" s="32"/>
    </row>
    <row r="59" spans="1:7" ht="22.5" hidden="1" customHeight="1">
      <c r="A59" s="128" t="s">
        <v>748</v>
      </c>
      <c r="B59" s="32" t="s">
        <v>749</v>
      </c>
      <c r="C59" s="127" t="e">
        <f t="shared" si="3"/>
        <v>#REF!</v>
      </c>
      <c r="D59" s="32"/>
      <c r="E59" s="32"/>
      <c r="F59" s="32"/>
      <c r="G59" s="32"/>
    </row>
    <row r="60" spans="1:7" ht="22.5" hidden="1" customHeight="1">
      <c r="A60" s="128" t="s">
        <v>750</v>
      </c>
      <c r="B60" s="32" t="s">
        <v>751</v>
      </c>
      <c r="C60" s="127" t="e">
        <f t="shared" si="3"/>
        <v>#REF!</v>
      </c>
      <c r="D60" s="32"/>
      <c r="E60" s="32"/>
      <c r="F60" s="32"/>
      <c r="G60" s="32"/>
    </row>
    <row r="61" spans="1:7" ht="22.5" hidden="1" customHeight="1">
      <c r="A61" s="128" t="s">
        <v>752</v>
      </c>
      <c r="B61" s="32" t="s">
        <v>753</v>
      </c>
      <c r="C61" s="127" t="e">
        <f t="shared" si="3"/>
        <v>#REF!</v>
      </c>
      <c r="D61" s="32"/>
      <c r="E61" s="32"/>
      <c r="F61" s="32"/>
      <c r="G61" s="32"/>
    </row>
    <row r="62" spans="1:7" ht="22.5" hidden="1" customHeight="1">
      <c r="A62" s="128" t="s">
        <v>754</v>
      </c>
      <c r="B62" s="32" t="s">
        <v>755</v>
      </c>
      <c r="C62" s="127" t="e">
        <f t="shared" si="3"/>
        <v>#REF!</v>
      </c>
      <c r="D62" s="32"/>
      <c r="E62" s="32"/>
      <c r="F62" s="32"/>
      <c r="G62" s="32"/>
    </row>
    <row r="63" spans="1:7" ht="22.5" hidden="1" customHeight="1">
      <c r="A63" s="128" t="s">
        <v>756</v>
      </c>
      <c r="B63" s="32" t="s">
        <v>757</v>
      </c>
      <c r="C63" s="127" t="e">
        <f t="shared" si="3"/>
        <v>#REF!</v>
      </c>
      <c r="D63" s="32"/>
      <c r="E63" s="32"/>
      <c r="F63" s="32"/>
      <c r="G63" s="32"/>
    </row>
    <row r="64" spans="1:7" ht="22.5" hidden="1" customHeight="1">
      <c r="A64" s="128" t="s">
        <v>758</v>
      </c>
      <c r="B64" s="32" t="s">
        <v>759</v>
      </c>
      <c r="C64" s="127" t="e">
        <f t="shared" si="3"/>
        <v>#REF!</v>
      </c>
      <c r="D64" s="32"/>
      <c r="E64" s="32"/>
      <c r="F64" s="32"/>
      <c r="G64" s="32"/>
    </row>
    <row r="65" spans="1:7" ht="22.5" hidden="1" customHeight="1">
      <c r="A65" s="128" t="s">
        <v>760</v>
      </c>
      <c r="B65" s="32" t="s">
        <v>761</v>
      </c>
      <c r="C65" s="127"/>
      <c r="D65" s="32"/>
      <c r="E65" s="32"/>
      <c r="F65" s="32"/>
      <c r="G65" s="32"/>
    </row>
    <row r="66" spans="1:7" ht="22.5" hidden="1" customHeight="1">
      <c r="A66" s="128" t="s">
        <v>762</v>
      </c>
      <c r="B66" s="32" t="s">
        <v>763</v>
      </c>
      <c r="C66" s="127"/>
      <c r="D66" s="32"/>
      <c r="E66" s="32"/>
      <c r="F66" s="32"/>
      <c r="G66" s="32"/>
    </row>
    <row r="67" spans="1:7" ht="55.5" hidden="1" customHeight="1">
      <c r="A67" s="128" t="s">
        <v>764</v>
      </c>
      <c r="B67" s="32" t="s">
        <v>765</v>
      </c>
      <c r="C67" s="127"/>
      <c r="D67" s="32"/>
      <c r="E67" s="32"/>
      <c r="F67" s="32"/>
      <c r="G67" s="32"/>
    </row>
    <row r="68" spans="1:7" ht="22.5" hidden="1" customHeight="1">
      <c r="A68" s="128" t="s">
        <v>766</v>
      </c>
      <c r="B68" s="32" t="s">
        <v>767</v>
      </c>
      <c r="C68" s="127"/>
      <c r="D68" s="32"/>
      <c r="E68" s="32"/>
      <c r="F68" s="32"/>
      <c r="G68" s="32"/>
    </row>
    <row r="69" spans="1:7" ht="22.5" hidden="1" customHeight="1">
      <c r="A69" s="128" t="s">
        <v>768</v>
      </c>
      <c r="B69" s="32" t="s">
        <v>769</v>
      </c>
      <c r="C69" s="127" t="e">
        <f t="shared" ref="C69:C75" si="4">#REF!</f>
        <v>#REF!</v>
      </c>
      <c r="D69" s="32"/>
      <c r="E69" s="32"/>
      <c r="F69" s="32"/>
      <c r="G69" s="32"/>
    </row>
    <row r="70" spans="1:7" ht="22.5" hidden="1" customHeight="1">
      <c r="A70" s="128" t="s">
        <v>770</v>
      </c>
      <c r="B70" s="32" t="s">
        <v>771</v>
      </c>
      <c r="C70" s="127" t="e">
        <f t="shared" si="4"/>
        <v>#REF!</v>
      </c>
      <c r="D70" s="32"/>
      <c r="E70" s="32"/>
      <c r="F70" s="32"/>
      <c r="G70" s="32"/>
    </row>
    <row r="71" spans="1:7" ht="22.5" hidden="1" customHeight="1">
      <c r="A71" s="128" t="s">
        <v>772</v>
      </c>
      <c r="B71" s="32" t="s">
        <v>773</v>
      </c>
      <c r="C71" s="127" t="e">
        <f t="shared" si="4"/>
        <v>#REF!</v>
      </c>
      <c r="D71" s="32"/>
      <c r="E71" s="32"/>
      <c r="F71" s="32"/>
      <c r="G71" s="32"/>
    </row>
    <row r="72" spans="1:7" ht="22.5" hidden="1" customHeight="1">
      <c r="A72" s="128" t="s">
        <v>585</v>
      </c>
      <c r="B72" s="32" t="s">
        <v>774</v>
      </c>
      <c r="C72" s="127" t="e">
        <f t="shared" si="4"/>
        <v>#REF!</v>
      </c>
      <c r="D72" s="32"/>
      <c r="E72" s="32"/>
      <c r="F72" s="32"/>
      <c r="G72" s="32"/>
    </row>
    <row r="73" spans="1:7" ht="22.5" hidden="1" customHeight="1">
      <c r="A73" s="128" t="s">
        <v>586</v>
      </c>
      <c r="B73" s="32" t="s">
        <v>774</v>
      </c>
      <c r="C73" s="127" t="e">
        <f t="shared" si="4"/>
        <v>#REF!</v>
      </c>
      <c r="D73" s="32" t="s">
        <v>775</v>
      </c>
      <c r="E73" s="32"/>
      <c r="F73" s="32"/>
      <c r="G73" s="32"/>
    </row>
    <row r="74" spans="1:7" ht="22.5" hidden="1" customHeight="1">
      <c r="A74" s="128" t="s">
        <v>587</v>
      </c>
      <c r="B74" s="32" t="s">
        <v>774</v>
      </c>
      <c r="C74" s="127" t="e">
        <f t="shared" si="4"/>
        <v>#REF!</v>
      </c>
      <c r="D74" s="32" t="s">
        <v>775</v>
      </c>
      <c r="E74" s="32"/>
      <c r="F74" s="32"/>
      <c r="G74" s="32"/>
    </row>
    <row r="75" spans="1:7" ht="22.5" hidden="1" customHeight="1">
      <c r="A75" s="128" t="s">
        <v>588</v>
      </c>
      <c r="B75" s="32" t="s">
        <v>774</v>
      </c>
      <c r="C75" s="127" t="e">
        <f t="shared" si="4"/>
        <v>#REF!</v>
      </c>
      <c r="D75" s="32"/>
      <c r="E75" s="32"/>
      <c r="F75" s="32"/>
      <c r="G75" s="32"/>
    </row>
    <row r="76" spans="1:7" ht="22.5" hidden="1" customHeight="1">
      <c r="A76" s="128" t="s">
        <v>589</v>
      </c>
      <c r="B76" s="32" t="s">
        <v>774</v>
      </c>
      <c r="C76" s="127"/>
      <c r="D76" s="32"/>
      <c r="E76" s="32"/>
      <c r="F76" s="32"/>
      <c r="G76" s="32"/>
    </row>
    <row r="77" spans="1:7" ht="90" hidden="1" customHeight="1">
      <c r="A77" s="128" t="s">
        <v>590</v>
      </c>
      <c r="B77" s="32" t="s">
        <v>774</v>
      </c>
      <c r="C77" s="127"/>
      <c r="D77" s="32"/>
      <c r="E77" s="32"/>
      <c r="F77" s="32"/>
      <c r="G77" s="32"/>
    </row>
    <row r="78" spans="1:7" ht="22.5" hidden="1" customHeight="1">
      <c r="A78" s="128" t="s">
        <v>585</v>
      </c>
      <c r="B78" s="32" t="s">
        <v>31</v>
      </c>
      <c r="C78" s="127" t="e">
        <f t="shared" ref="C78:C83" si="5">#REF!</f>
        <v>#REF!</v>
      </c>
      <c r="D78" s="32"/>
      <c r="E78" s="32"/>
      <c r="F78" s="32"/>
      <c r="G78" s="32"/>
    </row>
    <row r="79" spans="1:7" ht="22.5" hidden="1" customHeight="1">
      <c r="A79" s="128" t="s">
        <v>586</v>
      </c>
      <c r="B79" s="32" t="s">
        <v>31</v>
      </c>
      <c r="C79" s="127" t="e">
        <f t="shared" si="5"/>
        <v>#REF!</v>
      </c>
      <c r="D79" s="32"/>
      <c r="E79" s="32"/>
      <c r="F79" s="32"/>
      <c r="G79" s="32"/>
    </row>
    <row r="80" spans="1:7" ht="22.5" hidden="1" customHeight="1">
      <c r="A80" s="128" t="s">
        <v>587</v>
      </c>
      <c r="B80" s="32" t="s">
        <v>31</v>
      </c>
      <c r="C80" s="127" t="e">
        <f t="shared" si="5"/>
        <v>#REF!</v>
      </c>
      <c r="D80" s="32"/>
      <c r="E80" s="32"/>
      <c r="F80" s="32"/>
      <c r="G80" s="32"/>
    </row>
    <row r="81" spans="1:7" ht="22.5" hidden="1" customHeight="1">
      <c r="A81" s="128" t="s">
        <v>588</v>
      </c>
      <c r="B81" s="32" t="s">
        <v>31</v>
      </c>
      <c r="C81" s="127" t="e">
        <f t="shared" si="5"/>
        <v>#REF!</v>
      </c>
      <c r="D81" s="32"/>
      <c r="E81" s="32"/>
      <c r="F81" s="32"/>
      <c r="G81" s="32"/>
    </row>
    <row r="82" spans="1:7" ht="22.5" customHeight="1">
      <c r="A82" s="128" t="s">
        <v>589</v>
      </c>
      <c r="B82" s="32" t="s">
        <v>31</v>
      </c>
      <c r="C82" s="129" t="e">
        <f t="shared" si="5"/>
        <v>#REF!</v>
      </c>
      <c r="D82" s="32" t="s">
        <v>776</v>
      </c>
      <c r="E82" s="32" t="s">
        <v>777</v>
      </c>
      <c r="F82" s="32"/>
      <c r="G82" s="32"/>
    </row>
    <row r="83" spans="1:7" ht="22.5" hidden="1" customHeight="1">
      <c r="A83" s="128" t="s">
        <v>590</v>
      </c>
      <c r="B83" s="32" t="s">
        <v>31</v>
      </c>
      <c r="C83" s="127" t="e">
        <f t="shared" si="5"/>
        <v>#REF!</v>
      </c>
      <c r="D83" s="32"/>
      <c r="E83" s="32"/>
      <c r="F83" s="32"/>
      <c r="G83" s="32"/>
    </row>
    <row r="84" spans="1:7" ht="22.5" hidden="1" customHeight="1">
      <c r="A84" s="128" t="s">
        <v>591</v>
      </c>
      <c r="B84" s="32" t="s">
        <v>31</v>
      </c>
      <c r="C84" s="127"/>
      <c r="D84" s="32"/>
      <c r="E84" s="32"/>
      <c r="F84" s="32"/>
      <c r="G84" s="32"/>
    </row>
    <row r="85" spans="1:7" ht="22.5" hidden="1" customHeight="1">
      <c r="A85" s="128" t="s">
        <v>592</v>
      </c>
      <c r="B85" s="32" t="s">
        <v>31</v>
      </c>
      <c r="C85" s="127"/>
      <c r="D85" s="32"/>
      <c r="E85" s="32"/>
      <c r="F85" s="32"/>
      <c r="G85" s="32"/>
    </row>
    <row r="86" spans="1:7" ht="22.5" hidden="1" customHeight="1">
      <c r="A86" s="128" t="s">
        <v>593</v>
      </c>
      <c r="B86" s="32" t="s">
        <v>31</v>
      </c>
      <c r="C86" s="127"/>
      <c r="D86" s="32"/>
      <c r="E86" s="32"/>
      <c r="F86" s="32"/>
      <c r="G86" s="32"/>
    </row>
    <row r="87" spans="1:7" ht="22.5" hidden="1" customHeight="1">
      <c r="A87" s="128" t="s">
        <v>594</v>
      </c>
      <c r="B87" s="32" t="s">
        <v>31</v>
      </c>
      <c r="C87" s="129"/>
      <c r="D87" s="130"/>
      <c r="E87" s="32"/>
      <c r="F87" s="32"/>
      <c r="G87" s="47"/>
    </row>
    <row r="88" spans="1:7" ht="22.5" hidden="1" customHeight="1">
      <c r="A88" s="128" t="s">
        <v>595</v>
      </c>
      <c r="B88" s="32" t="s">
        <v>31</v>
      </c>
      <c r="C88" s="127"/>
      <c r="D88" s="32"/>
      <c r="E88" s="32"/>
      <c r="F88" s="32"/>
      <c r="G88" s="32"/>
    </row>
    <row r="89" spans="1:7" ht="22.5" hidden="1" customHeight="1">
      <c r="A89" s="128" t="s">
        <v>596</v>
      </c>
      <c r="B89" s="32" t="s">
        <v>31</v>
      </c>
      <c r="C89" s="127" t="e">
        <f t="shared" ref="C89:C94" si="6">#REF!</f>
        <v>#REF!</v>
      </c>
      <c r="D89" s="32"/>
      <c r="E89" s="32"/>
      <c r="F89" s="32"/>
      <c r="G89" s="32"/>
    </row>
    <row r="90" spans="1:7" ht="22.5" hidden="1" customHeight="1">
      <c r="A90" s="128" t="s">
        <v>597</v>
      </c>
      <c r="B90" s="32" t="s">
        <v>31</v>
      </c>
      <c r="C90" s="127" t="e">
        <f t="shared" si="6"/>
        <v>#REF!</v>
      </c>
      <c r="D90" s="32"/>
      <c r="E90" s="32"/>
      <c r="F90" s="32"/>
      <c r="G90" s="32"/>
    </row>
    <row r="91" spans="1:7" ht="22.5" hidden="1" customHeight="1">
      <c r="A91" s="128" t="s">
        <v>598</v>
      </c>
      <c r="B91" s="32" t="s">
        <v>31</v>
      </c>
      <c r="C91" s="127" t="e">
        <f t="shared" si="6"/>
        <v>#REF!</v>
      </c>
      <c r="D91" s="32"/>
      <c r="E91" s="32"/>
      <c r="F91" s="32"/>
      <c r="G91" s="32"/>
    </row>
    <row r="92" spans="1:7" ht="22.5" customHeight="1">
      <c r="A92" s="128" t="s">
        <v>599</v>
      </c>
      <c r="B92" s="32" t="s">
        <v>31</v>
      </c>
      <c r="C92" s="127" t="e">
        <f t="shared" si="6"/>
        <v>#REF!</v>
      </c>
      <c r="D92" s="32"/>
      <c r="E92" s="32"/>
      <c r="F92" s="32"/>
      <c r="G92" s="32"/>
    </row>
    <row r="93" spans="1:7" ht="22.5" hidden="1" customHeight="1">
      <c r="A93" s="128" t="s">
        <v>600</v>
      </c>
      <c r="B93" s="32" t="s">
        <v>31</v>
      </c>
      <c r="C93" s="127" t="e">
        <f t="shared" si="6"/>
        <v>#REF!</v>
      </c>
      <c r="D93" s="32"/>
      <c r="E93" s="32"/>
      <c r="F93" s="32"/>
      <c r="G93" s="32"/>
    </row>
    <row r="94" spans="1:7" ht="22.5" hidden="1" customHeight="1">
      <c r="A94" s="128" t="s">
        <v>601</v>
      </c>
      <c r="B94" s="32" t="s">
        <v>31</v>
      </c>
      <c r="C94" s="127" t="e">
        <f t="shared" si="6"/>
        <v>#REF!</v>
      </c>
      <c r="D94" s="32"/>
      <c r="E94" s="32"/>
      <c r="F94" s="32"/>
      <c r="G94" s="32"/>
    </row>
    <row r="95" spans="1:7" ht="22.5" hidden="1" customHeight="1">
      <c r="A95" s="128" t="s">
        <v>602</v>
      </c>
      <c r="B95" s="32" t="s">
        <v>31</v>
      </c>
      <c r="C95" s="127"/>
      <c r="D95" s="32"/>
      <c r="E95" s="32"/>
      <c r="F95" s="32"/>
      <c r="G95" s="32"/>
    </row>
    <row r="96" spans="1:7" ht="22.5" hidden="1" customHeight="1">
      <c r="A96" s="128" t="s">
        <v>603</v>
      </c>
      <c r="B96" s="32" t="s">
        <v>31</v>
      </c>
      <c r="C96" s="127"/>
      <c r="D96" s="32"/>
      <c r="E96" s="32"/>
      <c r="F96" s="32"/>
      <c r="G96" s="32"/>
    </row>
    <row r="97" spans="1:7" ht="22.5" hidden="1" customHeight="1">
      <c r="A97" s="128" t="s">
        <v>604</v>
      </c>
      <c r="B97" s="32" t="s">
        <v>31</v>
      </c>
      <c r="C97" s="127"/>
      <c r="D97" s="32"/>
      <c r="E97" s="32"/>
      <c r="F97" s="32"/>
      <c r="G97" s="32"/>
    </row>
    <row r="98" spans="1:7" ht="22.5" hidden="1" customHeight="1">
      <c r="A98" s="128" t="s">
        <v>605</v>
      </c>
      <c r="B98" s="32" t="s">
        <v>31</v>
      </c>
      <c r="C98" s="129"/>
      <c r="D98" s="130"/>
      <c r="E98" s="32"/>
      <c r="F98" s="32"/>
      <c r="G98" s="32"/>
    </row>
    <row r="99" spans="1:7" ht="22.5" hidden="1" customHeight="1">
      <c r="A99" s="128" t="s">
        <v>606</v>
      </c>
      <c r="B99" s="32" t="s">
        <v>31</v>
      </c>
      <c r="C99" s="127"/>
      <c r="D99" s="32"/>
      <c r="E99" s="32"/>
      <c r="F99" s="32"/>
      <c r="G99" s="32"/>
    </row>
    <row r="100" spans="1:7" ht="22.5" hidden="1" customHeight="1">
      <c r="A100" s="128" t="s">
        <v>607</v>
      </c>
      <c r="B100" s="32" t="s">
        <v>31</v>
      </c>
      <c r="C100" s="127"/>
      <c r="D100" s="32"/>
      <c r="E100" s="32"/>
      <c r="F100" s="32"/>
      <c r="G100" s="32"/>
    </row>
    <row r="101" spans="1:7" ht="22.5" hidden="1" customHeight="1">
      <c r="A101" s="128" t="s">
        <v>608</v>
      </c>
      <c r="B101" s="32" t="s">
        <v>31</v>
      </c>
      <c r="C101" s="127"/>
      <c r="D101" s="32"/>
      <c r="E101" s="32"/>
      <c r="F101" s="32"/>
      <c r="G101" s="32"/>
    </row>
    <row r="102" spans="1:7" ht="22.5" hidden="1" customHeight="1">
      <c r="A102" s="128" t="s">
        <v>609</v>
      </c>
      <c r="B102" s="32" t="s">
        <v>31</v>
      </c>
      <c r="C102" s="127"/>
      <c r="D102" s="32"/>
      <c r="E102" s="32"/>
      <c r="F102" s="32"/>
      <c r="G102" s="32"/>
    </row>
    <row r="103" spans="1:7" ht="22.5" hidden="1" customHeight="1">
      <c r="A103" s="128" t="s">
        <v>610</v>
      </c>
      <c r="B103" s="32" t="s">
        <v>31</v>
      </c>
      <c r="C103" s="127"/>
      <c r="D103" s="32"/>
      <c r="E103" s="32"/>
      <c r="F103" s="32"/>
      <c r="G103" s="32"/>
    </row>
    <row r="104" spans="1:7" ht="22.5" hidden="1" customHeight="1">
      <c r="A104" s="128" t="s">
        <v>611</v>
      </c>
      <c r="B104" s="32" t="s">
        <v>31</v>
      </c>
      <c r="C104" s="129"/>
      <c r="D104" s="130"/>
      <c r="E104" s="32"/>
      <c r="F104" s="32"/>
      <c r="G104" s="47"/>
    </row>
    <row r="105" spans="1:7" ht="22.5" hidden="1" customHeight="1">
      <c r="A105" s="128" t="s">
        <v>612</v>
      </c>
      <c r="B105" s="32" t="s">
        <v>31</v>
      </c>
      <c r="C105" s="127"/>
      <c r="D105" s="32"/>
      <c r="E105" s="32"/>
      <c r="F105" s="32"/>
      <c r="G105" s="32"/>
    </row>
    <row r="106" spans="1:7" ht="22.5" hidden="1" customHeight="1">
      <c r="A106" s="128" t="s">
        <v>613</v>
      </c>
      <c r="B106" s="32" t="s">
        <v>31</v>
      </c>
      <c r="C106" s="129"/>
      <c r="D106" s="130"/>
      <c r="E106" s="32"/>
      <c r="F106" s="32"/>
      <c r="G106" s="32"/>
    </row>
    <row r="107" spans="1:7" ht="22.5" hidden="1" customHeight="1">
      <c r="A107" s="128" t="s">
        <v>614</v>
      </c>
      <c r="B107" s="32" t="s">
        <v>31</v>
      </c>
      <c r="C107" s="127"/>
      <c r="D107" s="32"/>
      <c r="E107" s="32"/>
      <c r="F107" s="32"/>
      <c r="G107" s="32"/>
    </row>
    <row r="108" spans="1:7" ht="22.5" hidden="1" customHeight="1">
      <c r="A108" s="128" t="s">
        <v>615</v>
      </c>
      <c r="B108" s="32" t="s">
        <v>31</v>
      </c>
      <c r="C108" s="127" t="e">
        <f t="shared" ref="C108:C133" si="7">#REF!</f>
        <v>#REF!</v>
      </c>
      <c r="D108" s="32"/>
      <c r="E108" s="32"/>
      <c r="F108" s="32"/>
      <c r="G108" s="32"/>
    </row>
    <row r="109" spans="1:7" ht="22.5" hidden="1" customHeight="1">
      <c r="A109" s="128" t="s">
        <v>616</v>
      </c>
      <c r="B109" s="32" t="s">
        <v>31</v>
      </c>
      <c r="C109" s="127" t="e">
        <f t="shared" si="7"/>
        <v>#REF!</v>
      </c>
      <c r="D109" s="32"/>
      <c r="E109" s="32"/>
      <c r="F109" s="32"/>
      <c r="G109" s="32"/>
    </row>
    <row r="110" spans="1:7" ht="22.5" hidden="1" customHeight="1">
      <c r="A110" s="128" t="s">
        <v>617</v>
      </c>
      <c r="B110" s="32" t="s">
        <v>31</v>
      </c>
      <c r="C110" s="127" t="e">
        <f t="shared" si="7"/>
        <v>#REF!</v>
      </c>
      <c r="D110" s="32"/>
      <c r="E110" s="32"/>
      <c r="F110" s="32"/>
      <c r="G110" s="32"/>
    </row>
    <row r="111" spans="1:7" ht="22.5" hidden="1" customHeight="1">
      <c r="A111" s="128" t="s">
        <v>618</v>
      </c>
      <c r="B111" s="32" t="s">
        <v>31</v>
      </c>
      <c r="C111" s="127" t="e">
        <f t="shared" si="7"/>
        <v>#REF!</v>
      </c>
      <c r="D111" s="32"/>
      <c r="E111" s="32"/>
      <c r="F111" s="32"/>
      <c r="G111" s="32"/>
    </row>
    <row r="112" spans="1:7" ht="22.5" hidden="1" customHeight="1">
      <c r="A112" s="128" t="s">
        <v>619</v>
      </c>
      <c r="B112" s="32" t="s">
        <v>31</v>
      </c>
      <c r="C112" s="127" t="e">
        <f t="shared" si="7"/>
        <v>#REF!</v>
      </c>
      <c r="D112" s="32"/>
      <c r="E112" s="32"/>
      <c r="F112" s="32"/>
      <c r="G112" s="32"/>
    </row>
    <row r="113" spans="1:7" ht="22.5" hidden="1" customHeight="1">
      <c r="A113" s="128" t="s">
        <v>620</v>
      </c>
      <c r="B113" s="32" t="s">
        <v>31</v>
      </c>
      <c r="C113" s="127" t="e">
        <f t="shared" si="7"/>
        <v>#REF!</v>
      </c>
      <c r="D113" s="32"/>
      <c r="E113" s="32"/>
      <c r="F113" s="32"/>
      <c r="G113" s="32"/>
    </row>
    <row r="114" spans="1:7" ht="22.5" customHeight="1">
      <c r="A114" s="128" t="s">
        <v>621</v>
      </c>
      <c r="B114" s="32" t="s">
        <v>31</v>
      </c>
      <c r="C114" s="129" t="e">
        <f t="shared" si="7"/>
        <v>#REF!</v>
      </c>
      <c r="D114" s="130" t="s">
        <v>775</v>
      </c>
      <c r="E114" s="32" t="s">
        <v>777</v>
      </c>
      <c r="F114" s="32" t="s">
        <v>778</v>
      </c>
      <c r="G114" s="47"/>
    </row>
    <row r="115" spans="1:7" ht="22.5" hidden="1" customHeight="1">
      <c r="A115" s="128" t="s">
        <v>622</v>
      </c>
      <c r="B115" s="32" t="s">
        <v>31</v>
      </c>
      <c r="C115" s="127" t="e">
        <f t="shared" si="7"/>
        <v>#REF!</v>
      </c>
      <c r="D115" s="32"/>
      <c r="E115" s="32"/>
      <c r="F115" s="32"/>
      <c r="G115" s="32"/>
    </row>
    <row r="116" spans="1:7" ht="22.5" hidden="1" customHeight="1">
      <c r="A116" s="128" t="s">
        <v>623</v>
      </c>
      <c r="B116" s="32" t="s">
        <v>31</v>
      </c>
      <c r="C116" s="127" t="e">
        <f t="shared" si="7"/>
        <v>#REF!</v>
      </c>
      <c r="D116" s="32"/>
      <c r="E116" s="32"/>
      <c r="F116" s="32"/>
      <c r="G116" s="32"/>
    </row>
    <row r="117" spans="1:7" ht="22.5" hidden="1" customHeight="1">
      <c r="A117" s="128" t="s">
        <v>624</v>
      </c>
      <c r="B117" s="32" t="s">
        <v>31</v>
      </c>
      <c r="C117" s="127" t="e">
        <f t="shared" si="7"/>
        <v>#REF!</v>
      </c>
      <c r="D117" s="32"/>
      <c r="E117" s="32"/>
      <c r="F117" s="32"/>
      <c r="G117" s="32"/>
    </row>
    <row r="118" spans="1:7" ht="22.5" hidden="1" customHeight="1">
      <c r="A118" s="128" t="s">
        <v>625</v>
      </c>
      <c r="B118" s="32" t="s">
        <v>31</v>
      </c>
      <c r="C118" s="127" t="e">
        <f t="shared" si="7"/>
        <v>#REF!</v>
      </c>
      <c r="D118" s="32"/>
      <c r="E118" s="32"/>
      <c r="F118" s="32"/>
      <c r="G118" s="32"/>
    </row>
    <row r="119" spans="1:7" ht="22.5" hidden="1" customHeight="1">
      <c r="A119" s="128" t="s">
        <v>626</v>
      </c>
      <c r="B119" s="32" t="s">
        <v>31</v>
      </c>
      <c r="C119" s="127" t="e">
        <f t="shared" si="7"/>
        <v>#REF!</v>
      </c>
      <c r="D119" s="32"/>
      <c r="E119" s="32"/>
      <c r="F119" s="32"/>
      <c r="G119" s="32"/>
    </row>
    <row r="120" spans="1:7" ht="22.5" hidden="1" customHeight="1">
      <c r="A120" s="128" t="s">
        <v>627</v>
      </c>
      <c r="B120" s="32" t="s">
        <v>31</v>
      </c>
      <c r="C120" s="127" t="e">
        <f t="shared" si="7"/>
        <v>#REF!</v>
      </c>
      <c r="D120" s="32"/>
      <c r="E120" s="32"/>
      <c r="F120" s="32"/>
      <c r="G120" s="32"/>
    </row>
    <row r="121" spans="1:7" ht="22.5" hidden="1" customHeight="1">
      <c r="A121" s="128" t="s">
        <v>628</v>
      </c>
      <c r="B121" s="32" t="s">
        <v>31</v>
      </c>
      <c r="C121" s="127" t="e">
        <f t="shared" si="7"/>
        <v>#REF!</v>
      </c>
      <c r="D121" s="32"/>
      <c r="E121" s="32"/>
      <c r="F121" s="32"/>
      <c r="G121" s="32"/>
    </row>
    <row r="122" spans="1:7" ht="22.5" hidden="1" customHeight="1">
      <c r="A122" s="128" t="s">
        <v>629</v>
      </c>
      <c r="B122" s="32" t="s">
        <v>31</v>
      </c>
      <c r="C122" s="127" t="e">
        <f t="shared" si="7"/>
        <v>#REF!</v>
      </c>
      <c r="D122" s="32"/>
      <c r="E122" s="32"/>
      <c r="F122" s="32"/>
      <c r="G122" s="32"/>
    </row>
    <row r="123" spans="1:7" ht="22.5" hidden="1" customHeight="1">
      <c r="A123" s="128" t="s">
        <v>630</v>
      </c>
      <c r="B123" s="32" t="s">
        <v>31</v>
      </c>
      <c r="C123" s="127" t="e">
        <f t="shared" si="7"/>
        <v>#REF!</v>
      </c>
      <c r="D123" s="32"/>
      <c r="E123" s="32"/>
      <c r="F123" s="32"/>
      <c r="G123" s="32"/>
    </row>
    <row r="124" spans="1:7" ht="22.5" hidden="1" customHeight="1">
      <c r="A124" s="128" t="s">
        <v>631</v>
      </c>
      <c r="B124" s="32" t="s">
        <v>31</v>
      </c>
      <c r="C124" s="127" t="e">
        <f t="shared" si="7"/>
        <v>#REF!</v>
      </c>
      <c r="D124" s="32"/>
      <c r="E124" s="32"/>
      <c r="F124" s="32"/>
      <c r="G124" s="32"/>
    </row>
    <row r="125" spans="1:7" ht="22.5" customHeight="1">
      <c r="A125" s="128" t="s">
        <v>632</v>
      </c>
      <c r="B125" s="32" t="s">
        <v>31</v>
      </c>
      <c r="C125" s="127" t="e">
        <f t="shared" si="7"/>
        <v>#REF!</v>
      </c>
      <c r="D125" s="32"/>
      <c r="E125" s="32"/>
      <c r="F125" s="32"/>
      <c r="G125" s="32"/>
    </row>
    <row r="126" spans="1:7" ht="22.5" hidden="1" customHeight="1">
      <c r="A126" s="128" t="s">
        <v>633</v>
      </c>
      <c r="B126" s="32" t="s">
        <v>31</v>
      </c>
      <c r="C126" s="127" t="e">
        <f t="shared" si="7"/>
        <v>#REF!</v>
      </c>
      <c r="D126" s="32"/>
      <c r="E126" s="32"/>
      <c r="F126" s="32"/>
      <c r="G126" s="32"/>
    </row>
    <row r="127" spans="1:7" ht="22.5" hidden="1" customHeight="1">
      <c r="A127" s="126" t="s">
        <v>585</v>
      </c>
      <c r="B127" s="32" t="s">
        <v>18</v>
      </c>
      <c r="C127" s="127" t="e">
        <f t="shared" si="7"/>
        <v>#REF!</v>
      </c>
      <c r="D127" s="32"/>
      <c r="E127" s="32"/>
      <c r="F127" s="32"/>
      <c r="G127" s="32"/>
    </row>
    <row r="128" spans="1:7" ht="22.5" hidden="1" customHeight="1">
      <c r="A128" s="128" t="s">
        <v>586</v>
      </c>
      <c r="B128" s="32" t="s">
        <v>18</v>
      </c>
      <c r="C128" s="127" t="e">
        <f t="shared" si="7"/>
        <v>#REF!</v>
      </c>
      <c r="D128" s="32"/>
      <c r="E128" s="32"/>
      <c r="F128" s="32"/>
      <c r="G128" s="32"/>
    </row>
    <row r="129" spans="1:7" ht="22.5" customHeight="1">
      <c r="A129" s="128" t="s">
        <v>587</v>
      </c>
      <c r="B129" s="32" t="s">
        <v>18</v>
      </c>
      <c r="C129" s="129" t="e">
        <f t="shared" si="7"/>
        <v>#REF!</v>
      </c>
      <c r="D129" s="130"/>
      <c r="E129" s="32" t="s">
        <v>777</v>
      </c>
      <c r="F129" s="32" t="s">
        <v>779</v>
      </c>
      <c r="G129" s="47" t="s">
        <v>780</v>
      </c>
    </row>
    <row r="130" spans="1:7" ht="22.5" customHeight="1">
      <c r="A130" s="128" t="s">
        <v>588</v>
      </c>
      <c r="B130" s="32" t="s">
        <v>18</v>
      </c>
      <c r="C130" s="129" t="e">
        <f t="shared" si="7"/>
        <v>#REF!</v>
      </c>
      <c r="D130" s="130"/>
      <c r="E130" s="32" t="s">
        <v>777</v>
      </c>
      <c r="F130" s="32" t="s">
        <v>779</v>
      </c>
      <c r="G130" s="47" t="s">
        <v>780</v>
      </c>
    </row>
    <row r="131" spans="1:7" ht="22.5" hidden="1" customHeight="1">
      <c r="A131" s="128" t="s">
        <v>589</v>
      </c>
      <c r="B131" s="32" t="s">
        <v>18</v>
      </c>
      <c r="C131" s="127" t="e">
        <f t="shared" si="7"/>
        <v>#REF!</v>
      </c>
      <c r="D131" s="32"/>
      <c r="E131" s="32"/>
      <c r="F131" s="32"/>
      <c r="G131" s="32"/>
    </row>
    <row r="132" spans="1:7" ht="22.5" hidden="1" customHeight="1">
      <c r="A132" s="128" t="s">
        <v>590</v>
      </c>
      <c r="B132" s="32" t="s">
        <v>18</v>
      </c>
      <c r="C132" s="127" t="e">
        <f t="shared" si="7"/>
        <v>#REF!</v>
      </c>
      <c r="D132" s="32"/>
      <c r="E132" s="32"/>
      <c r="F132" s="32"/>
      <c r="G132" s="32"/>
    </row>
    <row r="133" spans="1:7" ht="22.5" hidden="1" customHeight="1">
      <c r="A133" s="128" t="s">
        <v>591</v>
      </c>
      <c r="B133" s="32" t="s">
        <v>18</v>
      </c>
      <c r="C133" s="127" t="e">
        <f t="shared" si="7"/>
        <v>#REF!</v>
      </c>
      <c r="D133" s="32"/>
      <c r="E133" s="32"/>
      <c r="F133" s="32"/>
      <c r="G133" s="32"/>
    </row>
    <row r="134" spans="1:7" ht="22.5" hidden="1" customHeight="1">
      <c r="A134" s="128" t="s">
        <v>592</v>
      </c>
      <c r="B134" s="32" t="s">
        <v>18</v>
      </c>
      <c r="C134" s="127"/>
      <c r="D134" s="32"/>
      <c r="E134" s="32"/>
      <c r="F134" s="32"/>
      <c r="G134" s="32"/>
    </row>
    <row r="135" spans="1:7" ht="22.5" hidden="1" customHeight="1">
      <c r="A135" s="128" t="s">
        <v>593</v>
      </c>
      <c r="B135" s="32" t="s">
        <v>18</v>
      </c>
      <c r="C135" s="127"/>
      <c r="D135" s="32"/>
      <c r="E135" s="32"/>
      <c r="F135" s="32"/>
      <c r="G135" s="32"/>
    </row>
    <row r="136" spans="1:7" ht="22.5" hidden="1" customHeight="1">
      <c r="A136" s="128" t="s">
        <v>594</v>
      </c>
      <c r="B136" s="32" t="s">
        <v>18</v>
      </c>
      <c r="C136" s="129"/>
      <c r="D136" s="130"/>
      <c r="E136" s="32"/>
      <c r="F136" s="32"/>
      <c r="G136" s="32"/>
    </row>
    <row r="137" spans="1:7" ht="22.5" hidden="1" customHeight="1">
      <c r="A137" s="128" t="s">
        <v>595</v>
      </c>
      <c r="B137" s="32" t="s">
        <v>18</v>
      </c>
      <c r="C137" s="127"/>
      <c r="D137" s="32"/>
      <c r="E137" s="32"/>
      <c r="F137" s="32"/>
      <c r="G137" s="32"/>
    </row>
    <row r="138" spans="1:7" ht="22.5" hidden="1" customHeight="1">
      <c r="A138" s="128" t="s">
        <v>596</v>
      </c>
      <c r="B138" s="32" t="s">
        <v>18</v>
      </c>
      <c r="C138" s="127"/>
      <c r="D138" s="32"/>
      <c r="E138" s="32"/>
      <c r="F138" s="32"/>
      <c r="G138" s="32"/>
    </row>
    <row r="139" spans="1:7" ht="22.5" hidden="1" customHeight="1">
      <c r="A139" s="128" t="s">
        <v>597</v>
      </c>
      <c r="B139" s="32" t="s">
        <v>18</v>
      </c>
      <c r="C139" s="127" t="e">
        <f t="shared" ref="C139:C188" si="8">#REF!</f>
        <v>#REF!</v>
      </c>
      <c r="D139" s="32"/>
      <c r="E139" s="32"/>
      <c r="F139" s="32"/>
      <c r="G139" s="32"/>
    </row>
    <row r="140" spans="1:7" ht="22.5" hidden="1" customHeight="1">
      <c r="A140" s="128" t="s">
        <v>598</v>
      </c>
      <c r="B140" s="32" t="s">
        <v>18</v>
      </c>
      <c r="C140" s="127" t="e">
        <f t="shared" si="8"/>
        <v>#REF!</v>
      </c>
      <c r="D140" s="32"/>
      <c r="E140" s="32"/>
      <c r="F140" s="32"/>
      <c r="G140" s="32"/>
    </row>
    <row r="141" spans="1:7" ht="22.5" hidden="1" customHeight="1">
      <c r="A141" s="128" t="s">
        <v>599</v>
      </c>
      <c r="B141" s="32" t="s">
        <v>18</v>
      </c>
      <c r="C141" s="127" t="e">
        <f t="shared" si="8"/>
        <v>#REF!</v>
      </c>
      <c r="D141" s="32"/>
      <c r="E141" s="32"/>
      <c r="F141" s="32"/>
      <c r="G141" s="32"/>
    </row>
    <row r="142" spans="1:7" ht="22.5" hidden="1" customHeight="1">
      <c r="A142" s="128" t="s">
        <v>600</v>
      </c>
      <c r="B142" s="32" t="s">
        <v>18</v>
      </c>
      <c r="C142" s="127" t="e">
        <f t="shared" si="8"/>
        <v>#REF!</v>
      </c>
      <c r="D142" s="32"/>
      <c r="E142" s="32"/>
      <c r="F142" s="32"/>
      <c r="G142" s="32"/>
    </row>
    <row r="143" spans="1:7" ht="22.5" hidden="1" customHeight="1">
      <c r="A143" s="128" t="s">
        <v>601</v>
      </c>
      <c r="B143" s="32" t="s">
        <v>18</v>
      </c>
      <c r="C143" s="127" t="e">
        <f t="shared" si="8"/>
        <v>#REF!</v>
      </c>
      <c r="D143" s="32"/>
      <c r="E143" s="32"/>
      <c r="F143" s="32"/>
      <c r="G143" s="32"/>
    </row>
    <row r="144" spans="1:7" ht="22.5" hidden="1" customHeight="1">
      <c r="A144" s="128" t="s">
        <v>602</v>
      </c>
      <c r="B144" s="32" t="s">
        <v>18</v>
      </c>
      <c r="C144" s="127" t="e">
        <f t="shared" si="8"/>
        <v>#REF!</v>
      </c>
      <c r="D144" s="32"/>
      <c r="E144" s="32"/>
      <c r="F144" s="32"/>
      <c r="G144" s="32"/>
    </row>
    <row r="145" spans="1:7" ht="22.5" hidden="1" customHeight="1">
      <c r="A145" s="126" t="s">
        <v>603</v>
      </c>
      <c r="B145" s="32" t="s">
        <v>18</v>
      </c>
      <c r="C145" s="129" t="e">
        <f t="shared" si="8"/>
        <v>#REF!</v>
      </c>
      <c r="D145" s="130"/>
      <c r="E145" s="32"/>
      <c r="F145" s="32"/>
      <c r="G145" s="32"/>
    </row>
    <row r="146" spans="1:7" ht="22.5" hidden="1" customHeight="1">
      <c r="A146" s="128" t="s">
        <v>604</v>
      </c>
      <c r="B146" s="32" t="s">
        <v>18</v>
      </c>
      <c r="C146" s="127" t="e">
        <f t="shared" si="8"/>
        <v>#REF!</v>
      </c>
      <c r="D146" s="32"/>
      <c r="E146" s="32"/>
      <c r="F146" s="32"/>
      <c r="G146" s="32"/>
    </row>
    <row r="147" spans="1:7" ht="22.5" customHeight="1">
      <c r="A147" s="128" t="s">
        <v>605</v>
      </c>
      <c r="B147" s="32" t="s">
        <v>18</v>
      </c>
      <c r="C147" s="129" t="e">
        <f t="shared" si="8"/>
        <v>#REF!</v>
      </c>
      <c r="D147" s="130"/>
      <c r="E147" s="32"/>
      <c r="F147" s="32"/>
      <c r="G147" s="47" t="s">
        <v>780</v>
      </c>
    </row>
    <row r="148" spans="1:7" ht="22.5" hidden="1" customHeight="1">
      <c r="A148" s="128" t="s">
        <v>606</v>
      </c>
      <c r="B148" s="32" t="s">
        <v>18</v>
      </c>
      <c r="C148" s="129" t="e">
        <f t="shared" si="8"/>
        <v>#REF!</v>
      </c>
      <c r="D148" s="130"/>
      <c r="E148" s="32"/>
      <c r="F148" s="32"/>
      <c r="G148" s="32"/>
    </row>
    <row r="149" spans="1:7" ht="22.5" hidden="1" customHeight="1">
      <c r="A149" s="128" t="s">
        <v>607</v>
      </c>
      <c r="B149" s="32" t="s">
        <v>18</v>
      </c>
      <c r="C149" s="127" t="e">
        <f t="shared" si="8"/>
        <v>#REF!</v>
      </c>
      <c r="D149" s="32"/>
      <c r="E149" s="32"/>
      <c r="F149" s="32"/>
      <c r="G149" s="32"/>
    </row>
    <row r="150" spans="1:7" ht="22.5" hidden="1" customHeight="1">
      <c r="A150" s="128" t="s">
        <v>608</v>
      </c>
      <c r="B150" s="32" t="s">
        <v>18</v>
      </c>
      <c r="C150" s="127" t="e">
        <f t="shared" si="8"/>
        <v>#REF!</v>
      </c>
      <c r="D150" s="32"/>
      <c r="E150" s="32"/>
      <c r="F150" s="32"/>
      <c r="G150" s="32"/>
    </row>
    <row r="151" spans="1:7" ht="22.5" hidden="1" customHeight="1">
      <c r="A151" s="128" t="s">
        <v>609</v>
      </c>
      <c r="B151" s="32" t="s">
        <v>18</v>
      </c>
      <c r="C151" s="127" t="e">
        <f t="shared" si="8"/>
        <v>#REF!</v>
      </c>
      <c r="D151" s="32"/>
      <c r="E151" s="32"/>
      <c r="F151" s="32"/>
      <c r="G151" s="32"/>
    </row>
    <row r="152" spans="1:7" ht="22.5" hidden="1" customHeight="1">
      <c r="A152" s="128" t="s">
        <v>610</v>
      </c>
      <c r="B152" s="32" t="s">
        <v>18</v>
      </c>
      <c r="C152" s="127" t="e">
        <f t="shared" si="8"/>
        <v>#REF!</v>
      </c>
      <c r="D152" s="32"/>
      <c r="E152" s="32"/>
      <c r="F152" s="32"/>
      <c r="G152" s="32"/>
    </row>
    <row r="153" spans="1:7" ht="22.5" hidden="1" customHeight="1">
      <c r="A153" s="128" t="s">
        <v>611</v>
      </c>
      <c r="B153" s="32" t="s">
        <v>18</v>
      </c>
      <c r="C153" s="127" t="e">
        <f t="shared" si="8"/>
        <v>#REF!</v>
      </c>
      <c r="D153" s="32"/>
      <c r="E153" s="32"/>
      <c r="F153" s="32"/>
      <c r="G153" s="32"/>
    </row>
    <row r="154" spans="1:7" ht="22.5" hidden="1" customHeight="1">
      <c r="A154" s="128" t="s">
        <v>612</v>
      </c>
      <c r="B154" s="32" t="s">
        <v>18</v>
      </c>
      <c r="C154" s="127" t="e">
        <f t="shared" si="8"/>
        <v>#REF!</v>
      </c>
      <c r="D154" s="32"/>
      <c r="E154" s="32"/>
      <c r="F154" s="32"/>
      <c r="G154" s="32"/>
    </row>
    <row r="155" spans="1:7" ht="22.5" hidden="1" customHeight="1">
      <c r="A155" s="128" t="s">
        <v>613</v>
      </c>
      <c r="B155" s="32" t="s">
        <v>18</v>
      </c>
      <c r="C155" s="127" t="e">
        <f t="shared" si="8"/>
        <v>#REF!</v>
      </c>
      <c r="D155" s="32"/>
      <c r="E155" s="32"/>
      <c r="F155" s="32"/>
      <c r="G155" s="32"/>
    </row>
    <row r="156" spans="1:7" ht="22.5" customHeight="1">
      <c r="A156" s="128" t="s">
        <v>614</v>
      </c>
      <c r="B156" s="32" t="s">
        <v>18</v>
      </c>
      <c r="C156" s="129" t="e">
        <f t="shared" si="8"/>
        <v>#REF!</v>
      </c>
      <c r="D156" s="130"/>
      <c r="E156" s="32"/>
      <c r="F156" s="32"/>
      <c r="G156" s="47" t="s">
        <v>780</v>
      </c>
    </row>
    <row r="157" spans="1:7" ht="22.5" customHeight="1">
      <c r="A157" s="128" t="s">
        <v>615</v>
      </c>
      <c r="B157" s="32" t="s">
        <v>18</v>
      </c>
      <c r="C157" s="129" t="e">
        <f t="shared" si="8"/>
        <v>#REF!</v>
      </c>
      <c r="D157" s="130"/>
      <c r="E157" s="32"/>
      <c r="F157" s="32"/>
      <c r="G157" s="47" t="s">
        <v>780</v>
      </c>
    </row>
    <row r="158" spans="1:7" ht="22.5" hidden="1" customHeight="1">
      <c r="A158" s="128" t="s">
        <v>616</v>
      </c>
      <c r="B158" s="32" t="s">
        <v>18</v>
      </c>
      <c r="C158" s="127" t="e">
        <f t="shared" si="8"/>
        <v>#REF!</v>
      </c>
      <c r="D158" s="32"/>
      <c r="E158" s="32"/>
      <c r="F158" s="32"/>
      <c r="G158" s="32"/>
    </row>
    <row r="159" spans="1:7" ht="22.5" hidden="1" customHeight="1">
      <c r="A159" s="128" t="s">
        <v>617</v>
      </c>
      <c r="B159" s="32" t="s">
        <v>18</v>
      </c>
      <c r="C159" s="127" t="e">
        <f t="shared" si="8"/>
        <v>#REF!</v>
      </c>
      <c r="D159" s="32"/>
      <c r="E159" s="32"/>
      <c r="F159" s="32"/>
      <c r="G159" s="32"/>
    </row>
    <row r="160" spans="1:7" ht="22.5" hidden="1" customHeight="1">
      <c r="A160" s="128" t="s">
        <v>618</v>
      </c>
      <c r="B160" s="32" t="s">
        <v>18</v>
      </c>
      <c r="C160" s="127" t="e">
        <f t="shared" si="8"/>
        <v>#REF!</v>
      </c>
      <c r="D160" s="32"/>
      <c r="E160" s="32"/>
      <c r="F160" s="32"/>
      <c r="G160" s="32"/>
    </row>
    <row r="161" spans="1:7" ht="22.5" hidden="1" customHeight="1">
      <c r="A161" s="128" t="s">
        <v>619</v>
      </c>
      <c r="B161" s="32" t="s">
        <v>18</v>
      </c>
      <c r="C161" s="127" t="e">
        <f t="shared" si="8"/>
        <v>#REF!</v>
      </c>
      <c r="D161" s="32"/>
      <c r="E161" s="32"/>
      <c r="F161" s="32"/>
      <c r="G161" s="32"/>
    </row>
    <row r="162" spans="1:7" ht="22.5" hidden="1" customHeight="1">
      <c r="A162" s="128" t="s">
        <v>620</v>
      </c>
      <c r="B162" s="32" t="s">
        <v>18</v>
      </c>
      <c r="C162" s="127" t="e">
        <f t="shared" si="8"/>
        <v>#REF!</v>
      </c>
      <c r="D162" s="32"/>
      <c r="E162" s="32"/>
      <c r="F162" s="32"/>
      <c r="G162" s="32"/>
    </row>
    <row r="163" spans="1:7" ht="22.5" hidden="1" customHeight="1">
      <c r="A163" s="128" t="s">
        <v>621</v>
      </c>
      <c r="B163" s="32" t="s">
        <v>18</v>
      </c>
      <c r="C163" s="127" t="e">
        <f t="shared" si="8"/>
        <v>#REF!</v>
      </c>
      <c r="D163" s="32"/>
      <c r="E163" s="32"/>
      <c r="F163" s="32"/>
      <c r="G163" s="32"/>
    </row>
    <row r="164" spans="1:7" ht="22.5" hidden="1" customHeight="1">
      <c r="A164" s="128" t="s">
        <v>622</v>
      </c>
      <c r="B164" s="32" t="s">
        <v>18</v>
      </c>
      <c r="C164" s="127" t="e">
        <f t="shared" si="8"/>
        <v>#REF!</v>
      </c>
      <c r="D164" s="32"/>
      <c r="E164" s="32"/>
      <c r="F164" s="32"/>
      <c r="G164" s="32"/>
    </row>
    <row r="165" spans="1:7" ht="22.5" hidden="1" customHeight="1">
      <c r="A165" s="128" t="s">
        <v>623</v>
      </c>
      <c r="B165" s="32" t="s">
        <v>18</v>
      </c>
      <c r="C165" s="127" t="e">
        <f t="shared" si="8"/>
        <v>#REF!</v>
      </c>
      <c r="D165" s="32"/>
      <c r="E165" s="32"/>
      <c r="F165" s="32"/>
      <c r="G165" s="32"/>
    </row>
    <row r="166" spans="1:7" ht="22.5" hidden="1" customHeight="1">
      <c r="A166" s="128" t="s">
        <v>624</v>
      </c>
      <c r="B166" s="32" t="s">
        <v>18</v>
      </c>
      <c r="C166" s="127" t="e">
        <f t="shared" si="8"/>
        <v>#REF!</v>
      </c>
      <c r="D166" s="32"/>
      <c r="E166" s="32"/>
      <c r="F166" s="32"/>
      <c r="G166" s="32"/>
    </row>
    <row r="167" spans="1:7" ht="22.5" hidden="1" customHeight="1">
      <c r="A167" s="128" t="s">
        <v>625</v>
      </c>
      <c r="B167" s="32" t="s">
        <v>18</v>
      </c>
      <c r="C167" s="127" t="e">
        <f t="shared" si="8"/>
        <v>#REF!</v>
      </c>
      <c r="D167" s="32"/>
      <c r="E167" s="32"/>
      <c r="F167" s="32"/>
      <c r="G167" s="32"/>
    </row>
    <row r="168" spans="1:7" ht="22.5" hidden="1" customHeight="1">
      <c r="A168" s="128" t="s">
        <v>626</v>
      </c>
      <c r="B168" s="32" t="s">
        <v>18</v>
      </c>
      <c r="C168" s="127" t="e">
        <f t="shared" si="8"/>
        <v>#REF!</v>
      </c>
      <c r="D168" s="32"/>
      <c r="E168" s="32"/>
      <c r="F168" s="32"/>
      <c r="G168" s="32"/>
    </row>
    <row r="169" spans="1:7" ht="22.5" hidden="1" customHeight="1">
      <c r="A169" s="128" t="s">
        <v>627</v>
      </c>
      <c r="B169" s="32" t="s">
        <v>18</v>
      </c>
      <c r="C169" s="127" t="e">
        <f t="shared" si="8"/>
        <v>#REF!</v>
      </c>
      <c r="D169" s="32"/>
      <c r="E169" s="32"/>
      <c r="F169" s="32"/>
      <c r="G169" s="32"/>
    </row>
    <row r="170" spans="1:7" ht="22.5" hidden="1" customHeight="1">
      <c r="A170" s="128" t="s">
        <v>628</v>
      </c>
      <c r="B170" s="32" t="s">
        <v>18</v>
      </c>
      <c r="C170" s="127" t="e">
        <f t="shared" si="8"/>
        <v>#REF!</v>
      </c>
      <c r="D170" s="32"/>
      <c r="E170" s="32"/>
      <c r="F170" s="32"/>
      <c r="G170" s="32"/>
    </row>
    <row r="171" spans="1:7" ht="22.5" hidden="1" customHeight="1">
      <c r="A171" s="128" t="s">
        <v>629</v>
      </c>
      <c r="B171" s="32" t="s">
        <v>18</v>
      </c>
      <c r="C171" s="127" t="e">
        <f t="shared" si="8"/>
        <v>#REF!</v>
      </c>
      <c r="D171" s="32"/>
      <c r="E171" s="32"/>
      <c r="F171" s="32"/>
      <c r="G171" s="32"/>
    </row>
    <row r="172" spans="1:7" ht="22.5" customHeight="1">
      <c r="A172" s="128" t="s">
        <v>630</v>
      </c>
      <c r="B172" s="32" t="s">
        <v>18</v>
      </c>
      <c r="C172" s="129" t="e">
        <f t="shared" si="8"/>
        <v>#REF!</v>
      </c>
      <c r="D172" s="130"/>
      <c r="E172" s="32"/>
      <c r="F172" s="32"/>
      <c r="G172" s="47" t="s">
        <v>780</v>
      </c>
    </row>
    <row r="173" spans="1:7" ht="22.5" customHeight="1">
      <c r="A173" s="128" t="s">
        <v>631</v>
      </c>
      <c r="B173" s="32" t="s">
        <v>18</v>
      </c>
      <c r="C173" s="129" t="e">
        <f t="shared" si="8"/>
        <v>#REF!</v>
      </c>
      <c r="D173" s="130"/>
      <c r="E173" s="32"/>
      <c r="F173" s="32"/>
      <c r="G173" s="47" t="s">
        <v>780</v>
      </c>
    </row>
    <row r="174" spans="1:7" ht="22.5" hidden="1" customHeight="1">
      <c r="A174" s="128" t="s">
        <v>632</v>
      </c>
      <c r="B174" s="32" t="s">
        <v>18</v>
      </c>
      <c r="C174" s="127" t="e">
        <f t="shared" si="8"/>
        <v>#REF!</v>
      </c>
      <c r="D174" s="32"/>
      <c r="E174" s="32"/>
      <c r="F174" s="32"/>
      <c r="G174" s="32"/>
    </row>
    <row r="175" spans="1:7" ht="22.5" hidden="1" customHeight="1">
      <c r="A175" s="128" t="s">
        <v>633</v>
      </c>
      <c r="B175" s="32" t="s">
        <v>18</v>
      </c>
      <c r="C175" s="127" t="e">
        <f t="shared" si="8"/>
        <v>#REF!</v>
      </c>
      <c r="D175" s="32"/>
      <c r="E175" s="32"/>
      <c r="F175" s="32"/>
      <c r="G175" s="32"/>
    </row>
    <row r="176" spans="1:7" ht="22.5" hidden="1" customHeight="1">
      <c r="A176" s="128" t="s">
        <v>634</v>
      </c>
      <c r="B176" s="32" t="s">
        <v>18</v>
      </c>
      <c r="C176" s="127" t="e">
        <f t="shared" si="8"/>
        <v>#REF!</v>
      </c>
      <c r="D176" s="32"/>
      <c r="E176" s="32"/>
      <c r="F176" s="32"/>
      <c r="G176" s="32"/>
    </row>
    <row r="177" spans="1:7" ht="22.5" hidden="1" customHeight="1">
      <c r="A177" s="128" t="s">
        <v>635</v>
      </c>
      <c r="B177" s="32" t="s">
        <v>18</v>
      </c>
      <c r="C177" s="127" t="e">
        <f t="shared" si="8"/>
        <v>#REF!</v>
      </c>
      <c r="D177" s="32"/>
      <c r="E177" s="32"/>
      <c r="F177" s="32"/>
      <c r="G177" s="32"/>
    </row>
    <row r="178" spans="1:7" ht="22.5" hidden="1" customHeight="1">
      <c r="A178" s="128" t="s">
        <v>636</v>
      </c>
      <c r="B178" s="32" t="s">
        <v>18</v>
      </c>
      <c r="C178" s="127" t="e">
        <f t="shared" si="8"/>
        <v>#REF!</v>
      </c>
      <c r="D178" s="32"/>
      <c r="E178" s="32"/>
      <c r="F178" s="32"/>
      <c r="G178" s="32"/>
    </row>
    <row r="179" spans="1:7" ht="22.5" hidden="1" customHeight="1">
      <c r="A179" s="128" t="s">
        <v>637</v>
      </c>
      <c r="B179" s="32" t="s">
        <v>18</v>
      </c>
      <c r="C179" s="127" t="e">
        <f t="shared" si="8"/>
        <v>#REF!</v>
      </c>
      <c r="D179" s="32"/>
      <c r="E179" s="32"/>
      <c r="F179" s="32"/>
      <c r="G179" s="32"/>
    </row>
    <row r="180" spans="1:7" ht="22.5" hidden="1" customHeight="1">
      <c r="A180" s="128" t="s">
        <v>638</v>
      </c>
      <c r="B180" s="32" t="s">
        <v>18</v>
      </c>
      <c r="C180" s="127" t="e">
        <f t="shared" si="8"/>
        <v>#REF!</v>
      </c>
      <c r="D180" s="32"/>
      <c r="E180" s="32"/>
      <c r="F180" s="32"/>
      <c r="G180" s="32"/>
    </row>
    <row r="181" spans="1:7" ht="22.5" hidden="1" customHeight="1">
      <c r="A181" s="128" t="s">
        <v>639</v>
      </c>
      <c r="B181" s="32" t="s">
        <v>18</v>
      </c>
      <c r="C181" s="127" t="e">
        <f t="shared" si="8"/>
        <v>#REF!</v>
      </c>
      <c r="D181" s="32"/>
      <c r="E181" s="32"/>
      <c r="F181" s="32"/>
      <c r="G181" s="32"/>
    </row>
    <row r="182" spans="1:7" ht="22.5" hidden="1" customHeight="1">
      <c r="A182" s="128" t="s">
        <v>640</v>
      </c>
      <c r="B182" s="32" t="s">
        <v>18</v>
      </c>
      <c r="C182" s="127" t="e">
        <f t="shared" si="8"/>
        <v>#REF!</v>
      </c>
      <c r="D182" s="32"/>
      <c r="E182" s="32"/>
      <c r="F182" s="32"/>
      <c r="G182" s="32"/>
    </row>
    <row r="183" spans="1:7" ht="22.5" hidden="1" customHeight="1">
      <c r="A183" s="128" t="s">
        <v>641</v>
      </c>
      <c r="B183" s="32" t="s">
        <v>18</v>
      </c>
      <c r="C183" s="127" t="e">
        <f t="shared" si="8"/>
        <v>#REF!</v>
      </c>
      <c r="D183" s="32"/>
      <c r="E183" s="32"/>
      <c r="F183" s="32"/>
      <c r="G183" s="32"/>
    </row>
    <row r="184" spans="1:7" ht="22.5" hidden="1" customHeight="1">
      <c r="A184" s="128" t="s">
        <v>642</v>
      </c>
      <c r="B184" s="32" t="s">
        <v>18</v>
      </c>
      <c r="C184" s="127" t="e">
        <f t="shared" si="8"/>
        <v>#REF!</v>
      </c>
      <c r="D184" s="32"/>
      <c r="E184" s="32"/>
      <c r="F184" s="32"/>
      <c r="G184" s="32"/>
    </row>
    <row r="185" spans="1:7" ht="22.5" hidden="1" customHeight="1">
      <c r="A185" s="128" t="s">
        <v>643</v>
      </c>
      <c r="B185" s="32" t="s">
        <v>18</v>
      </c>
      <c r="C185" s="127" t="e">
        <f t="shared" si="8"/>
        <v>#REF!</v>
      </c>
      <c r="D185" s="32"/>
      <c r="E185" s="32"/>
      <c r="F185" s="32"/>
      <c r="G185" s="32"/>
    </row>
    <row r="186" spans="1:7" ht="22.5" hidden="1" customHeight="1">
      <c r="A186" s="128" t="s">
        <v>644</v>
      </c>
      <c r="B186" s="32" t="s">
        <v>18</v>
      </c>
      <c r="C186" s="127" t="e">
        <f t="shared" si="8"/>
        <v>#REF!</v>
      </c>
      <c r="D186" s="32"/>
      <c r="E186" s="32"/>
      <c r="F186" s="32"/>
      <c r="G186" s="32"/>
    </row>
    <row r="187" spans="1:7" ht="22.5" hidden="1" customHeight="1">
      <c r="A187" s="128" t="s">
        <v>645</v>
      </c>
      <c r="B187" s="32" t="s">
        <v>18</v>
      </c>
      <c r="C187" s="127" t="e">
        <f t="shared" si="8"/>
        <v>#REF!</v>
      </c>
      <c r="D187" s="32"/>
      <c r="E187" s="32"/>
      <c r="F187" s="32"/>
      <c r="G187" s="32"/>
    </row>
    <row r="188" spans="1:7" ht="22.5" hidden="1" customHeight="1">
      <c r="A188" s="128" t="s">
        <v>646</v>
      </c>
      <c r="B188" s="32" t="s">
        <v>18</v>
      </c>
      <c r="C188" s="129" t="e">
        <f t="shared" si="8"/>
        <v>#REF!</v>
      </c>
      <c r="D188" s="130"/>
      <c r="E188" s="32"/>
      <c r="F188" s="32"/>
      <c r="G188" s="32"/>
    </row>
    <row r="189" spans="1:7" ht="22.5" hidden="1" customHeight="1">
      <c r="A189" s="128" t="s">
        <v>585</v>
      </c>
      <c r="B189" s="32" t="s">
        <v>21</v>
      </c>
      <c r="C189" s="127" t="s">
        <v>801</v>
      </c>
      <c r="D189" s="32"/>
      <c r="E189" s="32"/>
      <c r="F189" s="32"/>
      <c r="G189" s="32"/>
    </row>
    <row r="190" spans="1:7" ht="22.5" hidden="1" customHeight="1">
      <c r="A190" s="128" t="s">
        <v>586</v>
      </c>
      <c r="B190" s="32" t="s">
        <v>21</v>
      </c>
      <c r="C190" s="127" t="s">
        <v>801</v>
      </c>
      <c r="D190" s="32"/>
      <c r="E190" s="32"/>
      <c r="F190" s="32"/>
      <c r="G190" s="32"/>
    </row>
    <row r="191" spans="1:7" ht="22.5" hidden="1" customHeight="1">
      <c r="A191" s="128" t="s">
        <v>587</v>
      </c>
      <c r="B191" s="32" t="s">
        <v>21</v>
      </c>
      <c r="C191" s="127" t="s">
        <v>801</v>
      </c>
      <c r="D191" s="32"/>
      <c r="E191" s="32"/>
      <c r="F191" s="32"/>
      <c r="G191" s="32"/>
    </row>
    <row r="192" spans="1:7" ht="22.5" hidden="1" customHeight="1">
      <c r="A192" s="128" t="s">
        <v>588</v>
      </c>
      <c r="B192" s="32" t="s">
        <v>21</v>
      </c>
      <c r="C192" s="127"/>
      <c r="D192" s="32"/>
      <c r="E192" s="32"/>
      <c r="F192" s="32"/>
      <c r="G192" s="32"/>
    </row>
    <row r="193" spans="1:7" ht="22.5" hidden="1" customHeight="1">
      <c r="A193" s="128" t="s">
        <v>589</v>
      </c>
      <c r="B193" s="32" t="s">
        <v>21</v>
      </c>
      <c r="C193" s="129"/>
      <c r="D193" s="130"/>
      <c r="E193" s="32"/>
      <c r="F193" s="32"/>
      <c r="G193" s="32"/>
    </row>
    <row r="194" spans="1:7" ht="22.5" hidden="1" customHeight="1">
      <c r="A194" s="128" t="s">
        <v>590</v>
      </c>
      <c r="B194" s="32" t="s">
        <v>21</v>
      </c>
      <c r="C194" s="127" t="s">
        <v>801</v>
      </c>
      <c r="D194" s="32"/>
      <c r="E194" s="32"/>
      <c r="F194" s="32"/>
      <c r="G194" s="32"/>
    </row>
    <row r="195" spans="1:7" ht="22.5" customHeight="1">
      <c r="A195" s="128" t="s">
        <v>591</v>
      </c>
      <c r="B195" s="32" t="s">
        <v>21</v>
      </c>
      <c r="C195" s="127" t="s">
        <v>801</v>
      </c>
      <c r="D195" s="32"/>
      <c r="E195" s="32"/>
      <c r="F195" s="32"/>
      <c r="G195" s="32"/>
    </row>
    <row r="196" spans="1:7" ht="22.5" hidden="1" customHeight="1">
      <c r="A196" s="128" t="s">
        <v>592</v>
      </c>
      <c r="B196" s="32" t="s">
        <v>21</v>
      </c>
      <c r="C196" s="127" t="s">
        <v>801</v>
      </c>
      <c r="D196" s="32"/>
      <c r="E196" s="32"/>
      <c r="F196" s="32"/>
      <c r="G196" s="32"/>
    </row>
    <row r="197" spans="1:7" ht="22.5" customHeight="1">
      <c r="A197" s="128" t="s">
        <v>593</v>
      </c>
      <c r="B197" s="32" t="s">
        <v>21</v>
      </c>
      <c r="C197" s="129" t="s">
        <v>801</v>
      </c>
      <c r="D197" s="130"/>
      <c r="E197" s="32" t="s">
        <v>781</v>
      </c>
      <c r="F197" s="32" t="s">
        <v>782</v>
      </c>
      <c r="G197" s="47" t="s">
        <v>780</v>
      </c>
    </row>
    <row r="198" spans="1:7" ht="22.5" hidden="1" customHeight="1">
      <c r="A198" s="128" t="s">
        <v>594</v>
      </c>
      <c r="B198" s="32" t="s">
        <v>21</v>
      </c>
      <c r="C198" s="127" t="s">
        <v>801</v>
      </c>
      <c r="D198" s="32"/>
      <c r="E198" s="32"/>
      <c r="F198" s="32"/>
      <c r="G198" s="32"/>
    </row>
    <row r="199" spans="1:7" ht="22.5" hidden="1" customHeight="1">
      <c r="A199" s="128" t="s">
        <v>595</v>
      </c>
      <c r="B199" s="32" t="s">
        <v>21</v>
      </c>
      <c r="C199" s="127" t="s">
        <v>801</v>
      </c>
      <c r="D199" s="32"/>
      <c r="E199" s="32"/>
      <c r="F199" s="32"/>
      <c r="G199" s="32"/>
    </row>
    <row r="200" spans="1:7" ht="22.5" hidden="1" customHeight="1">
      <c r="A200" s="128" t="s">
        <v>596</v>
      </c>
      <c r="B200" s="32" t="s">
        <v>21</v>
      </c>
      <c r="C200" s="127" t="s">
        <v>801</v>
      </c>
      <c r="D200" s="32"/>
      <c r="E200" s="32"/>
      <c r="F200" s="32"/>
      <c r="G200" s="32"/>
    </row>
    <row r="201" spans="1:7" ht="22.5" hidden="1" customHeight="1">
      <c r="A201" s="128" t="s">
        <v>597</v>
      </c>
      <c r="B201" s="32" t="s">
        <v>21</v>
      </c>
      <c r="C201" s="127" t="s">
        <v>801</v>
      </c>
      <c r="D201" s="32"/>
      <c r="E201" s="32"/>
      <c r="F201" s="32"/>
      <c r="G201" s="32"/>
    </row>
    <row r="202" spans="1:7" ht="22.5" hidden="1" customHeight="1">
      <c r="A202" s="128" t="s">
        <v>598</v>
      </c>
      <c r="B202" s="32" t="s">
        <v>21</v>
      </c>
      <c r="C202" s="127" t="s">
        <v>801</v>
      </c>
      <c r="D202" s="32"/>
      <c r="E202" s="32"/>
      <c r="F202" s="32"/>
      <c r="G202" s="32"/>
    </row>
    <row r="203" spans="1:7" ht="22.5" hidden="1" customHeight="1">
      <c r="A203" s="128" t="s">
        <v>599</v>
      </c>
      <c r="B203" s="32" t="s">
        <v>21</v>
      </c>
      <c r="C203" s="127" t="s">
        <v>801</v>
      </c>
      <c r="D203" s="32"/>
      <c r="E203" s="32"/>
      <c r="F203" s="32"/>
      <c r="G203" s="32"/>
    </row>
    <row r="204" spans="1:7" ht="22.5" customHeight="1">
      <c r="A204" s="128" t="s">
        <v>601</v>
      </c>
      <c r="B204" s="32" t="s">
        <v>21</v>
      </c>
      <c r="C204" s="129" t="e">
        <v>#REF!</v>
      </c>
      <c r="D204" s="130"/>
      <c r="E204" s="32" t="s">
        <v>781</v>
      </c>
      <c r="F204" s="32" t="s">
        <v>782</v>
      </c>
      <c r="G204" s="47" t="s">
        <v>780</v>
      </c>
    </row>
    <row r="205" spans="1:7" ht="22.5" hidden="1" customHeight="1">
      <c r="A205" s="127"/>
      <c r="B205" s="32"/>
      <c r="C205" s="127"/>
      <c r="D205" s="32"/>
      <c r="E205" s="32"/>
      <c r="F205" s="32"/>
      <c r="G205" s="32"/>
    </row>
    <row r="206" spans="1:7" ht="22.5" hidden="1" customHeight="1">
      <c r="A206" s="127"/>
      <c r="B206" s="32"/>
      <c r="C206" s="127"/>
      <c r="D206" s="32"/>
      <c r="E206" s="32"/>
      <c r="F206" s="32"/>
      <c r="G206" s="32"/>
    </row>
    <row r="207" spans="1:7" ht="22.5" hidden="1" customHeight="1">
      <c r="A207" s="127"/>
      <c r="B207" s="32"/>
      <c r="C207" s="127"/>
      <c r="D207" s="32"/>
      <c r="E207" s="32"/>
      <c r="F207" s="32"/>
      <c r="G207" s="32"/>
    </row>
    <row r="208" spans="1:7" ht="22.5" hidden="1" customHeight="1">
      <c r="A208" s="127"/>
      <c r="B208" s="32"/>
      <c r="C208" s="127"/>
      <c r="D208" s="32"/>
      <c r="E208" s="32"/>
      <c r="F208" s="32"/>
      <c r="G208" s="32"/>
    </row>
    <row r="209" spans="1:7" ht="22.5" hidden="1" customHeight="1">
      <c r="A209" s="127"/>
      <c r="B209" s="32"/>
      <c r="C209" s="127"/>
      <c r="D209" s="32"/>
      <c r="E209" s="32"/>
      <c r="F209" s="32"/>
      <c r="G209" s="32"/>
    </row>
    <row r="210" spans="1:7" ht="22.5" hidden="1" customHeight="1">
      <c r="A210" s="127"/>
      <c r="B210" s="32"/>
      <c r="C210" s="127"/>
      <c r="D210" s="32"/>
      <c r="E210" s="32"/>
      <c r="F210" s="32"/>
      <c r="G210" s="32"/>
    </row>
    <row r="211" spans="1:7" ht="22.5" hidden="1" customHeight="1">
      <c r="A211" s="127"/>
      <c r="B211" s="32"/>
      <c r="C211" s="127"/>
      <c r="D211" s="32"/>
      <c r="E211" s="32"/>
      <c r="F211" s="32"/>
      <c r="G211" s="32"/>
    </row>
    <row r="212" spans="1:7" ht="22.5" hidden="1" customHeight="1">
      <c r="A212" s="127"/>
      <c r="B212" s="32"/>
      <c r="C212" s="127"/>
      <c r="D212" s="32"/>
      <c r="E212" s="32"/>
      <c r="F212" s="32"/>
      <c r="G212" s="32"/>
    </row>
    <row r="213" spans="1:7" ht="22.5" hidden="1" customHeight="1">
      <c r="A213" s="127"/>
      <c r="B213" s="32"/>
      <c r="C213" s="127"/>
      <c r="D213" s="32"/>
      <c r="E213" s="32"/>
      <c r="F213" s="32"/>
      <c r="G213" s="32"/>
    </row>
    <row r="214" spans="1:7" ht="22.5" hidden="1" customHeight="1">
      <c r="A214" s="127"/>
      <c r="B214" s="32"/>
      <c r="C214" s="127"/>
      <c r="D214" s="32"/>
      <c r="E214" s="32"/>
      <c r="F214" s="32"/>
      <c r="G214" s="32"/>
    </row>
    <row r="215" spans="1:7" ht="22.5" hidden="1" customHeight="1">
      <c r="A215" s="127"/>
      <c r="B215" s="32"/>
      <c r="C215" s="127"/>
      <c r="D215" s="32"/>
      <c r="E215" s="32"/>
      <c r="F215" s="32"/>
      <c r="G215" s="32"/>
    </row>
    <row r="216" spans="1:7" ht="22.5" hidden="1" customHeight="1">
      <c r="A216" s="127"/>
      <c r="B216" s="32"/>
      <c r="C216" s="127"/>
      <c r="D216" s="32"/>
      <c r="E216" s="32"/>
      <c r="F216" s="32"/>
      <c r="G216" s="32"/>
    </row>
    <row r="217" spans="1:7" ht="22.5" hidden="1" customHeight="1">
      <c r="A217" s="127"/>
      <c r="B217" s="32"/>
      <c r="C217" s="127"/>
      <c r="D217" s="32"/>
      <c r="E217" s="32"/>
      <c r="F217" s="32"/>
      <c r="G217" s="32"/>
    </row>
    <row r="218" spans="1:7" ht="22.5" hidden="1" customHeight="1">
      <c r="A218" s="127"/>
      <c r="B218" s="32"/>
      <c r="C218" s="127"/>
      <c r="D218" s="32"/>
      <c r="E218" s="32"/>
      <c r="F218" s="32"/>
      <c r="G218" s="32"/>
    </row>
    <row r="219" spans="1:7" ht="22.5" hidden="1" customHeight="1">
      <c r="A219" s="127"/>
      <c r="B219" s="32"/>
      <c r="C219" s="127"/>
      <c r="D219" s="32"/>
      <c r="E219" s="32"/>
      <c r="F219" s="32"/>
      <c r="G219" s="32"/>
    </row>
    <row r="220" spans="1:7" ht="22.5" hidden="1" customHeight="1">
      <c r="A220" s="127"/>
      <c r="B220" s="32"/>
      <c r="C220" s="127"/>
      <c r="D220" s="32"/>
      <c r="E220" s="32"/>
      <c r="F220" s="32"/>
      <c r="G220" s="32"/>
    </row>
    <row r="221" spans="1:7" ht="22.5" hidden="1" customHeight="1">
      <c r="A221" s="127"/>
      <c r="B221" s="32"/>
      <c r="C221" s="127"/>
      <c r="D221" s="32"/>
      <c r="E221" s="32"/>
      <c r="F221" s="32"/>
      <c r="G221" s="32"/>
    </row>
    <row r="222" spans="1:7" ht="22.5" hidden="1" customHeight="1">
      <c r="A222" s="127"/>
      <c r="B222" s="32"/>
      <c r="C222" s="127"/>
      <c r="D222" s="32"/>
      <c r="E222" s="32"/>
      <c r="F222" s="32"/>
      <c r="G222" s="32"/>
    </row>
    <row r="223" spans="1:7" ht="22.5" hidden="1" customHeight="1">
      <c r="A223" s="127"/>
      <c r="B223" s="32"/>
      <c r="C223" s="127"/>
      <c r="D223" s="32"/>
      <c r="E223" s="32"/>
      <c r="F223" s="32"/>
      <c r="G223" s="32"/>
    </row>
    <row r="224" spans="1:7" ht="22.5" hidden="1" customHeight="1">
      <c r="A224" s="127"/>
      <c r="B224" s="32"/>
      <c r="C224" s="127"/>
      <c r="D224" s="32"/>
      <c r="E224" s="32"/>
      <c r="F224" s="32"/>
      <c r="G224" s="32"/>
    </row>
    <row r="225" spans="1:7" ht="22.5" hidden="1" customHeight="1">
      <c r="A225" s="127"/>
      <c r="B225" s="32"/>
      <c r="C225" s="127"/>
      <c r="D225" s="32"/>
      <c r="E225" s="32"/>
      <c r="F225" s="32"/>
      <c r="G225" s="32"/>
    </row>
    <row r="226" spans="1:7" ht="22.5" hidden="1" customHeight="1">
      <c r="A226" s="127"/>
      <c r="B226" s="32"/>
      <c r="C226" s="127"/>
      <c r="D226" s="32"/>
      <c r="E226" s="32"/>
      <c r="F226" s="32"/>
      <c r="G226" s="32"/>
    </row>
    <row r="227" spans="1:7" ht="22.5" hidden="1" customHeight="1">
      <c r="A227" s="127"/>
      <c r="B227" s="32"/>
      <c r="C227" s="127"/>
      <c r="D227" s="32"/>
      <c r="E227" s="32"/>
      <c r="F227" s="32"/>
      <c r="G227" s="32"/>
    </row>
    <row r="228" spans="1:7" ht="22.5" hidden="1" customHeight="1">
      <c r="A228" s="127"/>
      <c r="B228" s="32"/>
      <c r="C228" s="127"/>
      <c r="D228" s="32"/>
      <c r="E228" s="32"/>
      <c r="F228" s="32"/>
      <c r="G228" s="32"/>
    </row>
    <row r="229" spans="1:7" ht="22.5" hidden="1" customHeight="1">
      <c r="A229" s="127"/>
      <c r="B229" s="32"/>
      <c r="C229" s="127"/>
      <c r="D229" s="32"/>
      <c r="E229" s="32"/>
      <c r="F229" s="32"/>
      <c r="G229" s="32"/>
    </row>
    <row r="230" spans="1:7" ht="22.5" hidden="1" customHeight="1">
      <c r="A230" s="127"/>
      <c r="B230" s="32"/>
      <c r="C230" s="127"/>
      <c r="D230" s="32"/>
      <c r="E230" s="32"/>
      <c r="F230" s="32"/>
      <c r="G230" s="32"/>
    </row>
    <row r="231" spans="1:7" ht="22.5" hidden="1" customHeight="1">
      <c r="A231" s="127"/>
      <c r="B231" s="32"/>
      <c r="C231" s="127"/>
      <c r="D231" s="32"/>
      <c r="E231" s="32"/>
      <c r="F231" s="32"/>
      <c r="G231" s="32"/>
    </row>
    <row r="232" spans="1:7" ht="22.5" hidden="1" customHeight="1">
      <c r="A232" s="127"/>
      <c r="B232" s="32"/>
      <c r="C232" s="127"/>
      <c r="D232" s="32"/>
      <c r="E232" s="32"/>
      <c r="F232" s="32"/>
      <c r="G232" s="32"/>
    </row>
    <row r="233" spans="1:7" ht="22.5" hidden="1" customHeight="1">
      <c r="A233" s="127"/>
      <c r="B233" s="32"/>
      <c r="C233" s="127"/>
      <c r="D233" s="32"/>
      <c r="E233" s="32"/>
      <c r="F233" s="32"/>
      <c r="G233" s="32"/>
    </row>
    <row r="234" spans="1:7" ht="22.5" hidden="1" customHeight="1">
      <c r="A234" s="127"/>
      <c r="B234" s="32"/>
      <c r="C234" s="127"/>
      <c r="D234" s="32"/>
      <c r="E234" s="32"/>
      <c r="F234" s="32"/>
      <c r="G234" s="32"/>
    </row>
    <row r="235" spans="1:7" ht="22.5" hidden="1" customHeight="1">
      <c r="A235" s="127"/>
      <c r="B235" s="32"/>
      <c r="C235" s="127"/>
      <c r="D235" s="32"/>
      <c r="E235" s="32"/>
      <c r="F235" s="32"/>
      <c r="G235" s="32"/>
    </row>
    <row r="236" spans="1:7" ht="22.5" hidden="1" customHeight="1">
      <c r="A236" s="127"/>
      <c r="B236" s="32"/>
      <c r="C236" s="127"/>
      <c r="D236" s="32"/>
      <c r="E236" s="32"/>
      <c r="F236" s="32"/>
      <c r="G236" s="32"/>
    </row>
    <row r="237" spans="1:7" ht="22.5" hidden="1" customHeight="1">
      <c r="A237" s="127"/>
      <c r="B237" s="32"/>
      <c r="C237" s="127"/>
      <c r="D237" s="32"/>
      <c r="E237" s="32"/>
      <c r="F237" s="32"/>
      <c r="G237" s="32"/>
    </row>
    <row r="238" spans="1:7" ht="22.5" hidden="1" customHeight="1">
      <c r="A238" s="127"/>
      <c r="B238" s="32"/>
      <c r="C238" s="127"/>
      <c r="D238" s="32"/>
      <c r="E238" s="32"/>
      <c r="F238" s="32"/>
      <c r="G238" s="32"/>
    </row>
    <row r="239" spans="1:7" ht="22.5" hidden="1" customHeight="1">
      <c r="A239" s="127"/>
      <c r="B239" s="32"/>
      <c r="C239" s="127"/>
      <c r="D239" s="32"/>
      <c r="E239" s="32"/>
      <c r="F239" s="32"/>
      <c r="G239" s="32"/>
    </row>
    <row r="240" spans="1:7" ht="22.5" hidden="1" customHeight="1">
      <c r="A240" s="127"/>
      <c r="B240" s="32"/>
      <c r="C240" s="127"/>
      <c r="D240" s="32"/>
      <c r="E240" s="32"/>
      <c r="F240" s="32"/>
      <c r="G240" s="32"/>
    </row>
    <row r="241" spans="1:7" ht="22.5" hidden="1" customHeight="1">
      <c r="A241" s="127"/>
      <c r="B241" s="32"/>
      <c r="C241" s="127"/>
      <c r="D241" s="32"/>
      <c r="E241" s="32"/>
      <c r="F241" s="32"/>
      <c r="G241" s="32"/>
    </row>
    <row r="242" spans="1:7" ht="22.5" hidden="1" customHeight="1">
      <c r="A242" s="127"/>
      <c r="B242" s="32"/>
      <c r="C242" s="127"/>
      <c r="D242" s="32"/>
      <c r="E242" s="32"/>
      <c r="F242" s="32"/>
      <c r="G242" s="32"/>
    </row>
    <row r="243" spans="1:7" ht="22.5" hidden="1" customHeight="1">
      <c r="A243" s="127"/>
      <c r="B243" s="32"/>
      <c r="C243" s="127"/>
      <c r="D243" s="32"/>
      <c r="E243" s="32"/>
      <c r="F243" s="32"/>
      <c r="G243" s="32"/>
    </row>
    <row r="244" spans="1:7" ht="22.5" hidden="1" customHeight="1">
      <c r="A244" s="127"/>
      <c r="B244" s="32"/>
      <c r="C244" s="127"/>
      <c r="D244" s="32"/>
      <c r="E244" s="32"/>
      <c r="F244" s="32"/>
      <c r="G244" s="32"/>
    </row>
    <row r="245" spans="1:7" ht="22.5" hidden="1" customHeight="1">
      <c r="A245" s="127"/>
      <c r="B245" s="32"/>
      <c r="C245" s="127"/>
      <c r="D245" s="32"/>
      <c r="E245" s="32"/>
      <c r="F245" s="32"/>
      <c r="G245" s="32"/>
    </row>
    <row r="246" spans="1:7" ht="22.5" hidden="1" customHeight="1">
      <c r="A246" s="127"/>
      <c r="B246" s="32"/>
      <c r="C246" s="127"/>
      <c r="D246" s="32"/>
      <c r="E246" s="32"/>
      <c r="F246" s="32"/>
      <c r="G246" s="32"/>
    </row>
    <row r="247" spans="1:7" ht="22.5" hidden="1" customHeight="1">
      <c r="A247" s="127"/>
      <c r="B247" s="32"/>
      <c r="C247" s="127"/>
      <c r="D247" s="32"/>
      <c r="E247" s="32"/>
      <c r="F247" s="32"/>
      <c r="G247" s="32"/>
    </row>
    <row r="248" spans="1:7" ht="22.5" hidden="1" customHeight="1">
      <c r="A248" s="127"/>
      <c r="B248" s="32"/>
      <c r="C248" s="127"/>
      <c r="D248" s="32"/>
      <c r="E248" s="32"/>
      <c r="F248" s="32"/>
      <c r="G248" s="32"/>
    </row>
    <row r="249" spans="1:7" ht="22.5" hidden="1" customHeight="1">
      <c r="A249" s="127"/>
      <c r="B249" s="32"/>
      <c r="C249" s="127"/>
      <c r="D249" s="32"/>
      <c r="E249" s="32"/>
      <c r="F249" s="32"/>
      <c r="G249" s="32"/>
    </row>
    <row r="250" spans="1:7" ht="22.5" hidden="1" customHeight="1">
      <c r="A250" s="127"/>
      <c r="B250" s="32"/>
      <c r="C250" s="127"/>
      <c r="D250" s="32"/>
      <c r="E250" s="32"/>
      <c r="F250" s="32"/>
      <c r="G250" s="32"/>
    </row>
    <row r="251" spans="1:7" ht="22.5" hidden="1" customHeight="1">
      <c r="A251" s="127"/>
      <c r="B251" s="32"/>
      <c r="C251" s="127"/>
      <c r="D251" s="32"/>
      <c r="E251" s="32"/>
      <c r="F251" s="32"/>
      <c r="G251" s="32"/>
    </row>
    <row r="252" spans="1:7" ht="22.5" hidden="1" customHeight="1">
      <c r="A252" s="127"/>
      <c r="B252" s="32"/>
      <c r="C252" s="127"/>
      <c r="D252" s="32"/>
      <c r="E252" s="32"/>
      <c r="F252" s="32"/>
      <c r="G252" s="32"/>
    </row>
    <row r="253" spans="1:7" ht="22.5" hidden="1" customHeight="1">
      <c r="A253" s="127"/>
      <c r="B253" s="32"/>
      <c r="C253" s="127"/>
      <c r="D253" s="32"/>
      <c r="E253" s="32"/>
      <c r="F253" s="32"/>
      <c r="G253" s="32"/>
    </row>
    <row r="254" spans="1:7" ht="22.5" hidden="1" customHeight="1">
      <c r="A254" s="127"/>
      <c r="B254" s="32"/>
      <c r="C254" s="127"/>
      <c r="D254" s="32"/>
      <c r="E254" s="32"/>
      <c r="F254" s="32"/>
      <c r="G254" s="32"/>
    </row>
    <row r="255" spans="1:7" ht="22.5" hidden="1" customHeight="1">
      <c r="A255" s="127"/>
      <c r="B255" s="32"/>
      <c r="C255" s="127"/>
      <c r="D255" s="32"/>
      <c r="E255" s="32"/>
      <c r="F255" s="32"/>
      <c r="G255" s="32"/>
    </row>
    <row r="256" spans="1:7" ht="22.5" hidden="1" customHeight="1">
      <c r="A256" s="127"/>
      <c r="B256" s="32"/>
      <c r="C256" s="127"/>
      <c r="D256" s="32"/>
      <c r="E256" s="32"/>
      <c r="F256" s="32"/>
      <c r="G256" s="32"/>
    </row>
    <row r="257" spans="1:7" ht="22.5" hidden="1" customHeight="1">
      <c r="A257" s="127"/>
      <c r="B257" s="32"/>
      <c r="C257" s="127"/>
      <c r="D257" s="32"/>
      <c r="E257" s="32"/>
      <c r="F257" s="32"/>
      <c r="G257" s="32"/>
    </row>
    <row r="258" spans="1:7" ht="22.5" hidden="1" customHeight="1">
      <c r="A258" s="127"/>
      <c r="B258" s="32"/>
      <c r="C258" s="127"/>
      <c r="D258" s="32"/>
      <c r="E258" s="32"/>
      <c r="F258" s="32"/>
      <c r="G258" s="32"/>
    </row>
    <row r="259" spans="1:7" ht="22.5" hidden="1" customHeight="1">
      <c r="A259" s="127"/>
      <c r="B259" s="32"/>
      <c r="C259" s="127"/>
      <c r="D259" s="32"/>
      <c r="E259" s="32"/>
      <c r="F259" s="32"/>
      <c r="G259" s="32"/>
    </row>
    <row r="260" spans="1:7" ht="22.5" hidden="1" customHeight="1">
      <c r="A260" s="127"/>
      <c r="B260" s="32"/>
      <c r="C260" s="127"/>
      <c r="D260" s="32"/>
      <c r="E260" s="32"/>
      <c r="F260" s="32"/>
      <c r="G260" s="32"/>
    </row>
    <row r="261" spans="1:7" ht="22.5" hidden="1" customHeight="1">
      <c r="A261" s="127"/>
      <c r="B261" s="32"/>
      <c r="C261" s="127"/>
      <c r="D261" s="32"/>
      <c r="E261" s="32"/>
      <c r="F261" s="32"/>
      <c r="G261" s="32"/>
    </row>
    <row r="262" spans="1:7" ht="22.5" hidden="1" customHeight="1">
      <c r="A262" s="127"/>
      <c r="B262" s="32"/>
      <c r="C262" s="127"/>
      <c r="D262" s="32"/>
      <c r="E262" s="32"/>
      <c r="F262" s="32"/>
      <c r="G262" s="32"/>
    </row>
    <row r="263" spans="1:7" ht="22.5" hidden="1" customHeight="1">
      <c r="A263" s="127"/>
      <c r="B263" s="32"/>
      <c r="C263" s="127"/>
      <c r="D263" s="32"/>
      <c r="E263" s="32"/>
      <c r="F263" s="32"/>
      <c r="G263" s="32"/>
    </row>
    <row r="264" spans="1:7" ht="22.5" hidden="1" customHeight="1">
      <c r="A264" s="127"/>
      <c r="B264" s="32"/>
      <c r="C264" s="127"/>
      <c r="D264" s="32"/>
      <c r="E264" s="32"/>
      <c r="F264" s="32"/>
      <c r="G264" s="32"/>
    </row>
    <row r="265" spans="1:7" ht="22.5" hidden="1" customHeight="1">
      <c r="A265" s="127"/>
      <c r="B265" s="32"/>
      <c r="C265" s="127"/>
      <c r="D265" s="32"/>
      <c r="E265" s="32"/>
      <c r="F265" s="32"/>
      <c r="G265" s="32"/>
    </row>
    <row r="266" spans="1:7" ht="22.5" hidden="1" customHeight="1">
      <c r="A266" s="127"/>
      <c r="B266" s="32"/>
      <c r="C266" s="127"/>
      <c r="D266" s="32"/>
      <c r="E266" s="32"/>
      <c r="F266" s="32"/>
      <c r="G266" s="32"/>
    </row>
    <row r="267" spans="1:7" ht="22.5" hidden="1" customHeight="1">
      <c r="A267" s="127"/>
      <c r="B267" s="32"/>
      <c r="C267" s="127"/>
      <c r="D267" s="32"/>
      <c r="E267" s="32"/>
      <c r="F267" s="32"/>
      <c r="G267" s="32"/>
    </row>
    <row r="268" spans="1:7" ht="22.5" hidden="1" customHeight="1">
      <c r="A268" s="127"/>
      <c r="B268" s="32"/>
      <c r="C268" s="127"/>
      <c r="D268" s="32"/>
      <c r="E268" s="32"/>
      <c r="F268" s="32"/>
      <c r="G268" s="32"/>
    </row>
    <row r="269" spans="1:7" ht="22.5" hidden="1" customHeight="1">
      <c r="A269" s="127"/>
      <c r="B269" s="32"/>
      <c r="C269" s="127"/>
      <c r="D269" s="32"/>
      <c r="E269" s="32"/>
      <c r="F269" s="32"/>
      <c r="G269" s="32"/>
    </row>
    <row r="270" spans="1:7" ht="22.5" hidden="1" customHeight="1">
      <c r="A270" s="127"/>
      <c r="B270" s="32"/>
      <c r="C270" s="127"/>
      <c r="D270" s="32"/>
      <c r="E270" s="32"/>
      <c r="F270" s="32"/>
      <c r="G270" s="32"/>
    </row>
    <row r="271" spans="1:7" ht="22.5" hidden="1" customHeight="1">
      <c r="A271" s="127"/>
      <c r="B271" s="32"/>
      <c r="C271" s="127"/>
      <c r="D271" s="32"/>
      <c r="E271" s="32"/>
      <c r="F271" s="32"/>
      <c r="G271" s="32"/>
    </row>
    <row r="272" spans="1:7" ht="22.5" hidden="1" customHeight="1">
      <c r="A272" s="127"/>
      <c r="B272" s="32"/>
      <c r="C272" s="127"/>
      <c r="D272" s="32"/>
      <c r="E272" s="32"/>
      <c r="F272" s="32"/>
      <c r="G272" s="32"/>
    </row>
    <row r="273" spans="1:7" ht="22.5" hidden="1" customHeight="1">
      <c r="A273" s="127"/>
      <c r="B273" s="32"/>
      <c r="C273" s="127"/>
      <c r="D273" s="32"/>
      <c r="E273" s="32"/>
      <c r="F273" s="32"/>
      <c r="G273" s="32"/>
    </row>
    <row r="274" spans="1:7" ht="22.5" hidden="1" customHeight="1">
      <c r="A274" s="127"/>
      <c r="B274" s="32"/>
      <c r="C274" s="127"/>
      <c r="D274" s="32"/>
      <c r="E274" s="32"/>
      <c r="F274" s="32"/>
      <c r="G274" s="32"/>
    </row>
    <row r="275" spans="1:7" ht="22.5" hidden="1" customHeight="1">
      <c r="A275" s="127"/>
      <c r="B275" s="32"/>
      <c r="C275" s="127"/>
      <c r="D275" s="32"/>
      <c r="E275" s="32"/>
      <c r="F275" s="32"/>
      <c r="G275" s="32"/>
    </row>
    <row r="276" spans="1:7" ht="22.5" hidden="1" customHeight="1">
      <c r="A276" s="127"/>
      <c r="B276" s="32"/>
      <c r="C276" s="127"/>
      <c r="D276" s="32"/>
      <c r="E276" s="32"/>
      <c r="F276" s="32"/>
      <c r="G276" s="32"/>
    </row>
    <row r="277" spans="1:7" ht="22.5" hidden="1" customHeight="1">
      <c r="A277" s="127"/>
      <c r="B277" s="32"/>
      <c r="C277" s="127"/>
      <c r="D277" s="32"/>
      <c r="E277" s="32"/>
      <c r="F277" s="32"/>
      <c r="G277" s="32"/>
    </row>
    <row r="278" spans="1:7" ht="22.5" hidden="1" customHeight="1">
      <c r="A278" s="127"/>
      <c r="B278" s="32"/>
      <c r="C278" s="127"/>
      <c r="D278" s="32"/>
      <c r="E278" s="32"/>
      <c r="F278" s="32"/>
      <c r="G278" s="32"/>
    </row>
    <row r="279" spans="1:7" ht="22.5" hidden="1" customHeight="1">
      <c r="A279" s="127"/>
      <c r="B279" s="32"/>
      <c r="C279" s="127"/>
      <c r="D279" s="32"/>
      <c r="E279" s="32"/>
      <c r="F279" s="32"/>
      <c r="G279" s="32"/>
    </row>
    <row r="280" spans="1:7" ht="22.5" hidden="1" customHeight="1">
      <c r="A280" s="127"/>
      <c r="B280" s="32"/>
      <c r="C280" s="127"/>
      <c r="D280" s="32"/>
      <c r="E280" s="32"/>
      <c r="F280" s="32"/>
      <c r="G280" s="32"/>
    </row>
    <row r="281" spans="1:7" ht="22.5" hidden="1" customHeight="1">
      <c r="A281" s="127"/>
      <c r="B281" s="32"/>
      <c r="C281" s="127"/>
      <c r="D281" s="32"/>
      <c r="E281" s="32"/>
      <c r="F281" s="32"/>
      <c r="G281" s="32"/>
    </row>
    <row r="282" spans="1:7" ht="22.5" hidden="1" customHeight="1">
      <c r="A282" s="127"/>
      <c r="B282" s="32"/>
      <c r="C282" s="127"/>
      <c r="D282" s="32"/>
      <c r="E282" s="32"/>
      <c r="F282" s="32"/>
      <c r="G282" s="32"/>
    </row>
    <row r="283" spans="1:7" ht="22.5" hidden="1" customHeight="1">
      <c r="A283" s="127"/>
      <c r="B283" s="32"/>
      <c r="C283" s="127"/>
      <c r="D283" s="32"/>
      <c r="E283" s="32"/>
      <c r="F283" s="32"/>
      <c r="G283" s="32"/>
    </row>
    <row r="284" spans="1:7" ht="22.5" hidden="1" customHeight="1">
      <c r="A284" s="127"/>
      <c r="B284" s="32"/>
      <c r="C284" s="127"/>
      <c r="D284" s="32"/>
      <c r="E284" s="32"/>
      <c r="F284" s="32"/>
      <c r="G284" s="32"/>
    </row>
    <row r="285" spans="1:7" ht="22.5" hidden="1" customHeight="1">
      <c r="A285" s="127"/>
      <c r="B285" s="32"/>
      <c r="C285" s="127"/>
      <c r="D285" s="32"/>
      <c r="E285" s="32"/>
      <c r="F285" s="32"/>
      <c r="G285" s="32"/>
    </row>
    <row r="286" spans="1:7" ht="22.5" hidden="1" customHeight="1">
      <c r="A286" s="127"/>
      <c r="B286" s="32"/>
      <c r="C286" s="127"/>
      <c r="D286" s="32"/>
      <c r="E286" s="32"/>
      <c r="F286" s="32"/>
      <c r="G286" s="32"/>
    </row>
    <row r="287" spans="1:7" ht="22.5" hidden="1" customHeight="1">
      <c r="A287" s="127"/>
      <c r="B287" s="32"/>
      <c r="C287" s="127"/>
      <c r="D287" s="32"/>
      <c r="E287" s="32"/>
      <c r="F287" s="32"/>
      <c r="G287" s="32"/>
    </row>
    <row r="288" spans="1:7" ht="22.5" hidden="1" customHeight="1">
      <c r="A288" s="127"/>
      <c r="B288" s="32"/>
      <c r="C288" s="127"/>
      <c r="D288" s="32"/>
      <c r="E288" s="32"/>
      <c r="F288" s="32"/>
      <c r="G288" s="32"/>
    </row>
    <row r="289" spans="1:7" ht="22.5" hidden="1" customHeight="1">
      <c r="A289" s="127"/>
      <c r="B289" s="32"/>
      <c r="C289" s="127"/>
      <c r="D289" s="32"/>
      <c r="E289" s="32"/>
      <c r="F289" s="32"/>
      <c r="G289" s="32"/>
    </row>
    <row r="290" spans="1:7" ht="22.5" hidden="1" customHeight="1">
      <c r="A290" s="127"/>
      <c r="B290" s="32"/>
      <c r="C290" s="127"/>
      <c r="D290" s="32"/>
      <c r="E290" s="32"/>
      <c r="F290" s="32"/>
      <c r="G290" s="32"/>
    </row>
    <row r="291" spans="1:7" ht="22.5" hidden="1" customHeight="1">
      <c r="A291" s="127"/>
      <c r="B291" s="32"/>
      <c r="C291" s="127"/>
      <c r="D291" s="32"/>
      <c r="E291" s="32"/>
      <c r="F291" s="32"/>
      <c r="G291" s="32"/>
    </row>
    <row r="292" spans="1:7" ht="22.5" hidden="1" customHeight="1">
      <c r="A292" s="127"/>
      <c r="B292" s="32"/>
      <c r="C292" s="127"/>
      <c r="D292" s="32"/>
      <c r="E292" s="32"/>
      <c r="F292" s="32"/>
      <c r="G292" s="32"/>
    </row>
    <row r="293" spans="1:7" ht="22.5" hidden="1" customHeight="1">
      <c r="A293" s="127"/>
      <c r="B293" s="32"/>
      <c r="C293" s="127"/>
      <c r="D293" s="32"/>
      <c r="E293" s="32"/>
      <c r="F293" s="32"/>
      <c r="G293" s="32"/>
    </row>
    <row r="294" spans="1:7" ht="22.5" hidden="1" customHeight="1">
      <c r="A294" s="127"/>
      <c r="B294" s="32"/>
      <c r="C294" s="127"/>
      <c r="D294" s="32"/>
      <c r="E294" s="32"/>
      <c r="F294" s="32"/>
      <c r="G294" s="32"/>
    </row>
    <row r="295" spans="1:7" ht="22.5" hidden="1" customHeight="1">
      <c r="A295" s="127"/>
      <c r="B295" s="32"/>
      <c r="C295" s="127"/>
      <c r="D295" s="32"/>
      <c r="E295" s="32"/>
      <c r="F295" s="32"/>
      <c r="G295" s="32"/>
    </row>
    <row r="296" spans="1:7" ht="22.5" hidden="1" customHeight="1">
      <c r="A296" s="127"/>
      <c r="B296" s="32"/>
      <c r="C296" s="127"/>
      <c r="D296" s="32"/>
      <c r="E296" s="32"/>
      <c r="F296" s="32"/>
      <c r="G296" s="32"/>
    </row>
    <row r="297" spans="1:7" ht="22.5" hidden="1" customHeight="1">
      <c r="A297" s="127"/>
      <c r="B297" s="32"/>
      <c r="C297" s="127"/>
      <c r="D297" s="32"/>
      <c r="E297" s="32"/>
      <c r="F297" s="32"/>
      <c r="G297" s="32"/>
    </row>
    <row r="298" spans="1:7" ht="22.5" hidden="1" customHeight="1">
      <c r="A298" s="127"/>
      <c r="B298" s="32"/>
      <c r="C298" s="127"/>
      <c r="D298" s="32"/>
      <c r="E298" s="32"/>
      <c r="F298" s="32"/>
      <c r="G298" s="32"/>
    </row>
    <row r="299" spans="1:7" ht="22.5" hidden="1" customHeight="1">
      <c r="A299" s="127"/>
      <c r="B299" s="32"/>
      <c r="C299" s="127"/>
      <c r="D299" s="32"/>
      <c r="E299" s="32"/>
      <c r="F299" s="32"/>
      <c r="G299" s="32"/>
    </row>
    <row r="300" spans="1:7" ht="22.5" hidden="1" customHeight="1">
      <c r="A300" s="127"/>
      <c r="B300" s="32"/>
      <c r="C300" s="127"/>
      <c r="D300" s="32"/>
      <c r="E300" s="32"/>
      <c r="F300" s="32"/>
      <c r="G300" s="32"/>
    </row>
    <row r="301" spans="1:7" ht="22.5" hidden="1" customHeight="1">
      <c r="A301" s="127"/>
      <c r="B301" s="32"/>
      <c r="C301" s="127"/>
      <c r="D301" s="32"/>
      <c r="E301" s="32"/>
      <c r="F301" s="32"/>
      <c r="G301" s="32"/>
    </row>
    <row r="302" spans="1:7" ht="22.5" hidden="1" customHeight="1">
      <c r="A302" s="127"/>
      <c r="B302" s="32"/>
      <c r="C302" s="127"/>
      <c r="D302" s="32"/>
      <c r="E302" s="32"/>
      <c r="F302" s="32"/>
      <c r="G302" s="32"/>
    </row>
    <row r="303" spans="1:7" ht="22.5" hidden="1" customHeight="1">
      <c r="A303" s="127"/>
      <c r="B303" s="32"/>
      <c r="C303" s="127"/>
      <c r="D303" s="32"/>
      <c r="E303" s="32"/>
      <c r="F303" s="32"/>
      <c r="G303" s="32"/>
    </row>
    <row r="304" spans="1:7" ht="22.5" hidden="1" customHeight="1">
      <c r="A304" s="127"/>
      <c r="B304" s="32"/>
      <c r="C304" s="127"/>
      <c r="D304" s="32"/>
      <c r="E304" s="32"/>
      <c r="F304" s="32"/>
      <c r="G304" s="32"/>
    </row>
    <row r="305" spans="1:7" ht="22.5" hidden="1" customHeight="1">
      <c r="A305" s="127"/>
      <c r="B305" s="32"/>
      <c r="C305" s="127"/>
      <c r="D305" s="32"/>
      <c r="E305" s="32"/>
      <c r="F305" s="32"/>
      <c r="G305" s="32"/>
    </row>
    <row r="306" spans="1:7" ht="22.5" hidden="1" customHeight="1">
      <c r="A306" s="127"/>
      <c r="B306" s="32"/>
      <c r="C306" s="127"/>
      <c r="D306" s="32"/>
      <c r="E306" s="32"/>
      <c r="F306" s="32"/>
      <c r="G306" s="32"/>
    </row>
    <row r="307" spans="1:7" ht="22.5" hidden="1" customHeight="1">
      <c r="A307" s="127"/>
      <c r="B307" s="32"/>
      <c r="C307" s="127"/>
      <c r="D307" s="32"/>
      <c r="E307" s="32"/>
      <c r="F307" s="32"/>
      <c r="G307" s="32"/>
    </row>
    <row r="308" spans="1:7" ht="22.5" hidden="1" customHeight="1">
      <c r="A308" s="127"/>
      <c r="B308" s="32"/>
      <c r="C308" s="127"/>
      <c r="D308" s="32"/>
      <c r="E308" s="32"/>
      <c r="F308" s="32"/>
      <c r="G308" s="32"/>
    </row>
    <row r="309" spans="1:7" ht="22.5" hidden="1" customHeight="1">
      <c r="A309" s="127"/>
      <c r="B309" s="32"/>
      <c r="C309" s="127"/>
      <c r="D309" s="32"/>
      <c r="E309" s="32"/>
      <c r="F309" s="32"/>
      <c r="G309" s="32"/>
    </row>
    <row r="310" spans="1:7" ht="22.5" hidden="1" customHeight="1">
      <c r="A310" s="127"/>
      <c r="B310" s="32"/>
      <c r="C310" s="127"/>
      <c r="D310" s="32"/>
      <c r="E310" s="32"/>
      <c r="F310" s="32"/>
      <c r="G310" s="32"/>
    </row>
    <row r="311" spans="1:7" ht="22.5" hidden="1" customHeight="1">
      <c r="A311" s="127"/>
      <c r="B311" s="32"/>
      <c r="C311" s="127"/>
      <c r="D311" s="32"/>
      <c r="E311" s="32"/>
      <c r="F311" s="32"/>
      <c r="G311" s="32"/>
    </row>
    <row r="312" spans="1:7" ht="22.5" hidden="1" customHeight="1">
      <c r="A312" s="127"/>
      <c r="B312" s="32"/>
      <c r="C312" s="127"/>
      <c r="D312" s="32"/>
      <c r="E312" s="32"/>
      <c r="F312" s="32"/>
      <c r="G312" s="32"/>
    </row>
    <row r="313" spans="1:7" ht="22.5" hidden="1" customHeight="1">
      <c r="A313" s="127"/>
      <c r="B313" s="32"/>
      <c r="C313" s="127"/>
      <c r="D313" s="32"/>
      <c r="E313" s="32"/>
      <c r="F313" s="32"/>
      <c r="G313" s="32"/>
    </row>
    <row r="314" spans="1:7" ht="22.5" hidden="1" customHeight="1">
      <c r="A314" s="127"/>
      <c r="B314" s="32"/>
      <c r="C314" s="127"/>
      <c r="D314" s="32"/>
      <c r="E314" s="32"/>
      <c r="F314" s="32"/>
      <c r="G314" s="32"/>
    </row>
    <row r="315" spans="1:7" ht="22.5" hidden="1" customHeight="1">
      <c r="A315" s="127"/>
      <c r="B315" s="32"/>
      <c r="C315" s="127"/>
      <c r="D315" s="32"/>
      <c r="E315" s="32"/>
      <c r="F315" s="32"/>
      <c r="G315" s="32"/>
    </row>
    <row r="316" spans="1:7" ht="22.5" hidden="1" customHeight="1">
      <c r="A316" s="127"/>
      <c r="B316" s="32"/>
      <c r="C316" s="127"/>
      <c r="D316" s="32"/>
      <c r="E316" s="32"/>
      <c r="F316" s="32"/>
      <c r="G316" s="32"/>
    </row>
    <row r="317" spans="1:7" ht="22.5" hidden="1" customHeight="1">
      <c r="A317" s="127"/>
      <c r="B317" s="32"/>
      <c r="C317" s="127"/>
      <c r="D317" s="32"/>
      <c r="E317" s="32"/>
      <c r="F317" s="32"/>
      <c r="G317" s="32"/>
    </row>
    <row r="318" spans="1:7" ht="22.5" hidden="1" customHeight="1">
      <c r="A318" s="127"/>
      <c r="B318" s="32"/>
      <c r="C318" s="127"/>
      <c r="D318" s="32"/>
      <c r="E318" s="32"/>
      <c r="F318" s="32"/>
      <c r="G318" s="32"/>
    </row>
    <row r="319" spans="1:7" ht="22.5" hidden="1" customHeight="1">
      <c r="A319" s="127"/>
      <c r="B319" s="32"/>
      <c r="C319" s="127"/>
      <c r="D319" s="32"/>
      <c r="E319" s="32"/>
      <c r="F319" s="32"/>
      <c r="G319" s="32"/>
    </row>
    <row r="320" spans="1:7" ht="22.5" hidden="1" customHeight="1">
      <c r="A320" s="127"/>
      <c r="B320" s="32"/>
      <c r="C320" s="127"/>
      <c r="D320" s="32"/>
      <c r="E320" s="32"/>
      <c r="F320" s="32"/>
      <c r="G320" s="32"/>
    </row>
    <row r="321" spans="1:7" ht="22.5" hidden="1" customHeight="1">
      <c r="A321" s="127"/>
      <c r="B321" s="32"/>
      <c r="C321" s="127"/>
      <c r="D321" s="32"/>
      <c r="E321" s="32"/>
      <c r="F321" s="32"/>
      <c r="G321" s="32"/>
    </row>
    <row r="322" spans="1:7" ht="22.5" hidden="1" customHeight="1">
      <c r="A322" s="127"/>
      <c r="B322" s="32"/>
      <c r="C322" s="127"/>
      <c r="D322" s="32"/>
      <c r="E322" s="32"/>
      <c r="F322" s="32"/>
      <c r="G322" s="32"/>
    </row>
    <row r="323" spans="1:7" ht="22.5" hidden="1" customHeight="1">
      <c r="A323" s="127"/>
      <c r="B323" s="32"/>
      <c r="C323" s="127"/>
      <c r="D323" s="32"/>
      <c r="E323" s="32"/>
      <c r="F323" s="32"/>
      <c r="G323" s="32"/>
    </row>
    <row r="324" spans="1:7" ht="22.5" hidden="1" customHeight="1">
      <c r="A324" s="127"/>
      <c r="B324" s="32"/>
      <c r="C324" s="127"/>
      <c r="D324" s="32"/>
      <c r="E324" s="32"/>
      <c r="F324" s="32"/>
      <c r="G324" s="32"/>
    </row>
    <row r="325" spans="1:7" ht="22.5" hidden="1" customHeight="1">
      <c r="A325" s="127"/>
      <c r="B325" s="32"/>
      <c r="C325" s="127"/>
      <c r="D325" s="32"/>
      <c r="E325" s="32"/>
      <c r="F325" s="32"/>
      <c r="G325" s="32"/>
    </row>
    <row r="326" spans="1:7" ht="22.5" hidden="1" customHeight="1">
      <c r="A326" s="127"/>
      <c r="B326" s="32"/>
      <c r="C326" s="127"/>
      <c r="D326" s="32"/>
      <c r="E326" s="32"/>
      <c r="F326" s="32"/>
      <c r="G326" s="32"/>
    </row>
    <row r="327" spans="1:7" ht="22.5" hidden="1" customHeight="1">
      <c r="A327" s="127"/>
      <c r="B327" s="32"/>
      <c r="C327" s="127"/>
      <c r="D327" s="32"/>
      <c r="E327" s="32"/>
      <c r="F327" s="32"/>
      <c r="G327" s="32"/>
    </row>
    <row r="328" spans="1:7" ht="22.5" hidden="1" customHeight="1">
      <c r="A328" s="127"/>
      <c r="B328" s="32"/>
      <c r="C328" s="127"/>
      <c r="D328" s="32"/>
      <c r="E328" s="32"/>
      <c r="F328" s="32"/>
      <c r="G328" s="32"/>
    </row>
    <row r="329" spans="1:7" ht="22.5" hidden="1" customHeight="1">
      <c r="A329" s="127"/>
      <c r="B329" s="32"/>
      <c r="C329" s="127"/>
      <c r="D329" s="32"/>
      <c r="E329" s="32"/>
      <c r="F329" s="32"/>
      <c r="G329" s="32"/>
    </row>
    <row r="330" spans="1:7" ht="22.5" hidden="1" customHeight="1">
      <c r="A330" s="127"/>
      <c r="B330" s="32"/>
      <c r="C330" s="127"/>
      <c r="D330" s="32"/>
      <c r="E330" s="32"/>
      <c r="F330" s="32"/>
      <c r="G330" s="32"/>
    </row>
    <row r="331" spans="1:7" ht="22.5" hidden="1" customHeight="1">
      <c r="A331" s="127"/>
      <c r="B331" s="32"/>
      <c r="C331" s="127"/>
      <c r="D331" s="32"/>
      <c r="E331" s="32"/>
      <c r="F331" s="32"/>
      <c r="G331" s="32"/>
    </row>
    <row r="332" spans="1:7" ht="22.5" hidden="1" customHeight="1">
      <c r="A332" s="127"/>
      <c r="B332" s="32"/>
      <c r="C332" s="127"/>
      <c r="D332" s="32"/>
      <c r="E332" s="32"/>
      <c r="F332" s="32"/>
      <c r="G332" s="32"/>
    </row>
    <row r="333" spans="1:7" ht="22.5" hidden="1" customHeight="1">
      <c r="A333" s="127"/>
      <c r="B333" s="32"/>
      <c r="C333" s="127"/>
      <c r="D333" s="32"/>
      <c r="E333" s="32"/>
      <c r="F333" s="32"/>
      <c r="G333" s="32"/>
    </row>
    <row r="334" spans="1:7" ht="22.5" hidden="1" customHeight="1">
      <c r="A334" s="127"/>
      <c r="B334" s="32"/>
      <c r="C334" s="127"/>
      <c r="D334" s="32"/>
      <c r="E334" s="32"/>
      <c r="F334" s="32"/>
      <c r="G334" s="32"/>
    </row>
    <row r="335" spans="1:7" ht="22.5" hidden="1" customHeight="1">
      <c r="A335" s="127"/>
      <c r="B335" s="32"/>
      <c r="C335" s="127"/>
      <c r="D335" s="32"/>
      <c r="E335" s="32"/>
      <c r="F335" s="32"/>
      <c r="G335" s="32"/>
    </row>
    <row r="336" spans="1:7" ht="22.5" hidden="1" customHeight="1">
      <c r="A336" s="127"/>
      <c r="B336" s="32"/>
      <c r="C336" s="127"/>
      <c r="D336" s="32"/>
      <c r="E336" s="32"/>
      <c r="F336" s="32"/>
      <c r="G336" s="32"/>
    </row>
    <row r="337" spans="1:7" ht="22.5" hidden="1" customHeight="1">
      <c r="A337" s="127"/>
      <c r="B337" s="32"/>
      <c r="C337" s="127"/>
      <c r="D337" s="32"/>
      <c r="E337" s="32"/>
      <c r="F337" s="32"/>
      <c r="G337" s="32"/>
    </row>
    <row r="338" spans="1:7" ht="22.5" hidden="1" customHeight="1">
      <c r="A338" s="127"/>
      <c r="B338" s="32"/>
      <c r="C338" s="127"/>
      <c r="D338" s="32"/>
      <c r="E338" s="32"/>
      <c r="F338" s="32"/>
      <c r="G338" s="32"/>
    </row>
    <row r="339" spans="1:7" ht="22.5" hidden="1" customHeight="1">
      <c r="A339" s="127"/>
      <c r="B339" s="32"/>
      <c r="C339" s="127"/>
      <c r="D339" s="32"/>
      <c r="E339" s="32"/>
      <c r="F339" s="32"/>
      <c r="G339" s="32"/>
    </row>
    <row r="340" spans="1:7" ht="22.5" hidden="1" customHeight="1">
      <c r="A340" s="127"/>
      <c r="B340" s="32"/>
      <c r="C340" s="127"/>
      <c r="D340" s="32"/>
      <c r="E340" s="32"/>
      <c r="F340" s="32"/>
      <c r="G340" s="32"/>
    </row>
    <row r="341" spans="1:7" ht="22.5" hidden="1" customHeight="1">
      <c r="A341" s="127"/>
      <c r="B341" s="32"/>
      <c r="C341" s="127"/>
      <c r="D341" s="32"/>
      <c r="E341" s="32"/>
      <c r="F341" s="32"/>
      <c r="G341" s="32"/>
    </row>
    <row r="342" spans="1:7" ht="22.5" hidden="1" customHeight="1">
      <c r="A342" s="127"/>
      <c r="B342" s="32"/>
      <c r="C342" s="127"/>
      <c r="D342" s="32"/>
      <c r="E342" s="32"/>
      <c r="F342" s="32"/>
      <c r="G342" s="32"/>
    </row>
    <row r="343" spans="1:7" ht="22.5" hidden="1" customHeight="1">
      <c r="A343" s="127"/>
      <c r="B343" s="32"/>
      <c r="C343" s="127"/>
      <c r="D343" s="32"/>
      <c r="E343" s="32"/>
      <c r="F343" s="32"/>
      <c r="G343" s="32"/>
    </row>
    <row r="344" spans="1:7" ht="22.5" hidden="1" customHeight="1">
      <c r="A344" s="127"/>
      <c r="B344" s="32"/>
      <c r="C344" s="127"/>
      <c r="D344" s="32"/>
      <c r="E344" s="32"/>
      <c r="F344" s="32"/>
      <c r="G344" s="32"/>
    </row>
    <row r="345" spans="1:7" ht="22.5" hidden="1" customHeight="1">
      <c r="A345" s="127"/>
      <c r="B345" s="32"/>
      <c r="C345" s="127"/>
      <c r="D345" s="32"/>
      <c r="E345" s="32"/>
      <c r="F345" s="32"/>
      <c r="G345" s="32"/>
    </row>
    <row r="346" spans="1:7" ht="22.5" hidden="1" customHeight="1">
      <c r="A346" s="127"/>
      <c r="B346" s="32"/>
      <c r="C346" s="127"/>
      <c r="D346" s="32"/>
      <c r="E346" s="32"/>
      <c r="F346" s="32"/>
      <c r="G346" s="32"/>
    </row>
    <row r="347" spans="1:7" ht="22.5" hidden="1" customHeight="1">
      <c r="A347" s="127"/>
      <c r="B347" s="32"/>
      <c r="C347" s="127"/>
      <c r="D347" s="32"/>
      <c r="E347" s="32"/>
      <c r="F347" s="32"/>
      <c r="G347" s="32"/>
    </row>
    <row r="348" spans="1:7" ht="22.5" hidden="1" customHeight="1">
      <c r="A348" s="127"/>
      <c r="B348" s="32"/>
      <c r="C348" s="127"/>
      <c r="D348" s="32"/>
      <c r="E348" s="32"/>
      <c r="F348" s="32"/>
      <c r="G348" s="32"/>
    </row>
    <row r="349" spans="1:7" ht="22.5" hidden="1" customHeight="1">
      <c r="A349" s="127"/>
      <c r="B349" s="32"/>
      <c r="C349" s="127"/>
      <c r="D349" s="32"/>
      <c r="E349" s="32"/>
      <c r="F349" s="32"/>
      <c r="G349" s="32"/>
    </row>
    <row r="350" spans="1:7" ht="22.5" hidden="1" customHeight="1">
      <c r="A350" s="127"/>
      <c r="B350" s="32"/>
      <c r="C350" s="127"/>
      <c r="D350" s="32"/>
      <c r="E350" s="32"/>
      <c r="F350" s="32"/>
      <c r="G350" s="32"/>
    </row>
    <row r="351" spans="1:7" ht="22.5" hidden="1" customHeight="1">
      <c r="A351" s="127"/>
      <c r="B351" s="32"/>
      <c r="C351" s="127"/>
      <c r="D351" s="32"/>
      <c r="E351" s="32"/>
      <c r="F351" s="32"/>
      <c r="G351" s="32"/>
    </row>
    <row r="352" spans="1:7" ht="22.5" hidden="1" customHeight="1">
      <c r="A352" s="127"/>
      <c r="B352" s="32"/>
      <c r="C352" s="127"/>
      <c r="D352" s="32"/>
      <c r="E352" s="32"/>
      <c r="F352" s="32"/>
      <c r="G352" s="32"/>
    </row>
    <row r="353" spans="1:7" ht="22.5" hidden="1" customHeight="1">
      <c r="A353" s="127"/>
      <c r="B353" s="32"/>
      <c r="C353" s="127"/>
      <c r="D353" s="32"/>
      <c r="E353" s="32"/>
      <c r="F353" s="32"/>
      <c r="G353" s="32"/>
    </row>
    <row r="354" spans="1:7" ht="22.5" hidden="1" customHeight="1">
      <c r="A354" s="127"/>
      <c r="B354" s="32"/>
      <c r="C354" s="127"/>
      <c r="D354" s="32"/>
      <c r="E354" s="32"/>
      <c r="F354" s="32"/>
      <c r="G354" s="32"/>
    </row>
    <row r="355" spans="1:7" ht="22.5" hidden="1" customHeight="1">
      <c r="A355" s="127"/>
      <c r="B355" s="32"/>
      <c r="C355" s="127"/>
      <c r="D355" s="32"/>
      <c r="E355" s="32"/>
      <c r="F355" s="32"/>
      <c r="G355" s="32"/>
    </row>
    <row r="356" spans="1:7" ht="22.5" hidden="1" customHeight="1">
      <c r="A356" s="127"/>
      <c r="B356" s="32"/>
      <c r="C356" s="127"/>
      <c r="D356" s="32"/>
      <c r="E356" s="32"/>
      <c r="F356" s="32"/>
      <c r="G356" s="32"/>
    </row>
    <row r="357" spans="1:7" ht="22.5" hidden="1" customHeight="1">
      <c r="A357" s="127"/>
      <c r="B357" s="32"/>
      <c r="C357" s="127"/>
      <c r="D357" s="32"/>
      <c r="E357" s="32"/>
      <c r="F357" s="32"/>
      <c r="G357" s="32"/>
    </row>
    <row r="358" spans="1:7" ht="22.5" hidden="1" customHeight="1">
      <c r="A358" s="127"/>
      <c r="B358" s="32"/>
      <c r="C358" s="127"/>
      <c r="D358" s="32"/>
      <c r="E358" s="32"/>
      <c r="F358" s="32"/>
      <c r="G358" s="32"/>
    </row>
    <row r="359" spans="1:7" ht="22.5" hidden="1" customHeight="1">
      <c r="A359" s="127"/>
      <c r="B359" s="32"/>
      <c r="C359" s="127"/>
      <c r="D359" s="32"/>
      <c r="E359" s="32"/>
      <c r="F359" s="32"/>
      <c r="G359" s="32"/>
    </row>
    <row r="360" spans="1:7" ht="22.5" hidden="1" customHeight="1">
      <c r="A360" s="127"/>
      <c r="B360" s="32"/>
      <c r="C360" s="127"/>
      <c r="D360" s="32"/>
      <c r="E360" s="32"/>
      <c r="F360" s="32"/>
      <c r="G360" s="32"/>
    </row>
    <row r="361" spans="1:7" ht="22.5" hidden="1" customHeight="1">
      <c r="A361" s="127"/>
      <c r="B361" s="32"/>
      <c r="C361" s="127"/>
      <c r="D361" s="32"/>
      <c r="E361" s="32"/>
      <c r="F361" s="32"/>
      <c r="G361" s="32"/>
    </row>
    <row r="362" spans="1:7" ht="22.5" hidden="1" customHeight="1">
      <c r="A362" s="127"/>
      <c r="B362" s="32"/>
      <c r="C362" s="127"/>
      <c r="D362" s="32"/>
      <c r="E362" s="32"/>
      <c r="F362" s="32"/>
      <c r="G362" s="32"/>
    </row>
    <row r="363" spans="1:7" ht="22.5" hidden="1" customHeight="1">
      <c r="A363" s="127"/>
      <c r="B363" s="32"/>
      <c r="C363" s="127"/>
      <c r="D363" s="32"/>
      <c r="E363" s="32"/>
      <c r="F363" s="32"/>
      <c r="G363" s="32"/>
    </row>
    <row r="364" spans="1:7" ht="22.5" hidden="1" customHeight="1">
      <c r="A364" s="127"/>
      <c r="B364" s="32"/>
      <c r="C364" s="127"/>
      <c r="D364" s="32"/>
      <c r="E364" s="32"/>
      <c r="F364" s="32"/>
      <c r="G364" s="32"/>
    </row>
    <row r="365" spans="1:7" ht="22.5" hidden="1" customHeight="1">
      <c r="A365" s="127"/>
      <c r="B365" s="32"/>
      <c r="C365" s="127"/>
      <c r="D365" s="32"/>
      <c r="E365" s="32"/>
      <c r="F365" s="32"/>
      <c r="G365" s="32"/>
    </row>
    <row r="366" spans="1:7" ht="22.5" hidden="1" customHeight="1">
      <c r="A366" s="127"/>
      <c r="B366" s="32"/>
      <c r="C366" s="127"/>
      <c r="D366" s="32"/>
      <c r="E366" s="32"/>
      <c r="F366" s="32"/>
      <c r="G366" s="32"/>
    </row>
    <row r="367" spans="1:7" ht="22.5" hidden="1" customHeight="1">
      <c r="A367" s="127"/>
      <c r="B367" s="32"/>
      <c r="C367" s="127"/>
      <c r="D367" s="32"/>
      <c r="E367" s="32"/>
      <c r="F367" s="32"/>
      <c r="G367" s="32"/>
    </row>
    <row r="368" spans="1:7" ht="22.5" hidden="1" customHeight="1">
      <c r="A368" s="127"/>
      <c r="B368" s="32"/>
      <c r="C368" s="127"/>
      <c r="D368" s="32"/>
      <c r="E368" s="32"/>
      <c r="F368" s="32"/>
      <c r="G368" s="32"/>
    </row>
    <row r="369" spans="1:7" ht="22.5" hidden="1" customHeight="1">
      <c r="A369" s="127"/>
      <c r="B369" s="32"/>
      <c r="C369" s="127"/>
      <c r="D369" s="32"/>
      <c r="E369" s="32"/>
      <c r="F369" s="32"/>
      <c r="G369" s="32"/>
    </row>
    <row r="370" spans="1:7" ht="22.5" hidden="1" customHeight="1">
      <c r="A370" s="127"/>
      <c r="B370" s="32"/>
      <c r="C370" s="127"/>
      <c r="D370" s="32"/>
      <c r="E370" s="32"/>
      <c r="F370" s="32"/>
      <c r="G370" s="32"/>
    </row>
    <row r="371" spans="1:7" ht="22.5" hidden="1" customHeight="1">
      <c r="A371" s="127"/>
      <c r="B371" s="32"/>
      <c r="C371" s="127"/>
      <c r="D371" s="32"/>
      <c r="E371" s="32"/>
      <c r="F371" s="32"/>
      <c r="G371" s="32"/>
    </row>
    <row r="372" spans="1:7" ht="22.5" hidden="1" customHeight="1">
      <c r="A372" s="127"/>
      <c r="B372" s="32"/>
      <c r="C372" s="127"/>
      <c r="D372" s="32"/>
      <c r="E372" s="32"/>
      <c r="F372" s="32"/>
      <c r="G372" s="32"/>
    </row>
    <row r="373" spans="1:7" ht="22.5" hidden="1" customHeight="1">
      <c r="A373" s="127"/>
      <c r="B373" s="32"/>
      <c r="C373" s="127"/>
      <c r="D373" s="32"/>
      <c r="E373" s="32"/>
      <c r="F373" s="32"/>
      <c r="G373" s="32"/>
    </row>
    <row r="374" spans="1:7" ht="22.5" hidden="1" customHeight="1">
      <c r="A374" s="127"/>
      <c r="B374" s="32"/>
      <c r="C374" s="127"/>
      <c r="D374" s="32"/>
      <c r="E374" s="32"/>
      <c r="F374" s="32"/>
      <c r="G374" s="32"/>
    </row>
    <row r="375" spans="1:7" ht="22.5" hidden="1" customHeight="1">
      <c r="A375" s="127"/>
      <c r="B375" s="32"/>
      <c r="C375" s="127"/>
      <c r="D375" s="32"/>
      <c r="E375" s="32"/>
      <c r="F375" s="32"/>
      <c r="G375" s="32"/>
    </row>
    <row r="376" spans="1:7" ht="22.5" hidden="1" customHeight="1">
      <c r="A376" s="127"/>
      <c r="B376" s="32"/>
      <c r="C376" s="127"/>
      <c r="D376" s="32"/>
      <c r="E376" s="32"/>
      <c r="F376" s="32"/>
      <c r="G376" s="32"/>
    </row>
    <row r="377" spans="1:7" ht="22.5" hidden="1" customHeight="1">
      <c r="A377" s="127"/>
      <c r="B377" s="32"/>
      <c r="C377" s="127"/>
      <c r="D377" s="32"/>
      <c r="E377" s="32"/>
      <c r="F377" s="32"/>
      <c r="G377" s="32"/>
    </row>
    <row r="378" spans="1:7" ht="22.5" hidden="1" customHeight="1">
      <c r="A378" s="127"/>
      <c r="B378" s="32"/>
      <c r="C378" s="127"/>
      <c r="D378" s="32"/>
      <c r="E378" s="32"/>
      <c r="F378" s="32"/>
      <c r="G378" s="32"/>
    </row>
    <row r="379" spans="1:7" ht="22.5" hidden="1" customHeight="1">
      <c r="A379" s="127"/>
      <c r="B379" s="32"/>
      <c r="C379" s="127"/>
      <c r="D379" s="32"/>
      <c r="E379" s="32"/>
      <c r="F379" s="32"/>
      <c r="G379" s="32"/>
    </row>
    <row r="380" spans="1:7" ht="22.5" hidden="1" customHeight="1">
      <c r="A380" s="127"/>
      <c r="B380" s="32"/>
      <c r="C380" s="127"/>
      <c r="D380" s="32"/>
      <c r="E380" s="32"/>
      <c r="F380" s="32"/>
      <c r="G380" s="32"/>
    </row>
    <row r="381" spans="1:7" ht="22.5" hidden="1" customHeight="1">
      <c r="A381" s="127"/>
      <c r="B381" s="32"/>
      <c r="C381" s="127"/>
      <c r="D381" s="32"/>
      <c r="E381" s="32"/>
      <c r="F381" s="32"/>
      <c r="G381" s="32"/>
    </row>
    <row r="382" spans="1:7" ht="22.5" hidden="1" customHeight="1">
      <c r="A382" s="127"/>
      <c r="B382" s="32"/>
      <c r="C382" s="127"/>
      <c r="D382" s="32"/>
      <c r="E382" s="32"/>
      <c r="F382" s="32"/>
      <c r="G382" s="32"/>
    </row>
    <row r="383" spans="1:7" ht="22.5" hidden="1" customHeight="1">
      <c r="A383" s="127"/>
      <c r="B383" s="32"/>
      <c r="C383" s="127"/>
      <c r="D383" s="32"/>
      <c r="E383" s="32"/>
      <c r="F383" s="32"/>
      <c r="G383" s="32"/>
    </row>
    <row r="384" spans="1:7" ht="22.5" hidden="1" customHeight="1">
      <c r="A384" s="127"/>
      <c r="B384" s="32"/>
      <c r="C384" s="127"/>
      <c r="D384" s="32"/>
      <c r="E384" s="32"/>
      <c r="F384" s="32"/>
      <c r="G384" s="32"/>
    </row>
    <row r="385" spans="1:7" ht="22.5" hidden="1" customHeight="1">
      <c r="A385" s="127"/>
      <c r="B385" s="32"/>
      <c r="C385" s="127"/>
      <c r="D385" s="32"/>
      <c r="E385" s="32"/>
      <c r="F385" s="32"/>
      <c r="G385" s="32"/>
    </row>
    <row r="386" spans="1:7" ht="22.5" hidden="1" customHeight="1">
      <c r="A386" s="127"/>
      <c r="B386" s="32"/>
      <c r="C386" s="127"/>
      <c r="D386" s="32"/>
      <c r="E386" s="32"/>
      <c r="F386" s="32"/>
      <c r="G386" s="32"/>
    </row>
    <row r="387" spans="1:7" ht="22.5" hidden="1" customHeight="1">
      <c r="A387" s="127"/>
      <c r="B387" s="32"/>
      <c r="C387" s="127"/>
      <c r="D387" s="32"/>
      <c r="E387" s="32"/>
      <c r="F387" s="32"/>
      <c r="G387" s="32"/>
    </row>
    <row r="388" spans="1:7" ht="22.5" hidden="1" customHeight="1">
      <c r="A388" s="127"/>
      <c r="B388" s="32"/>
      <c r="C388" s="127"/>
      <c r="D388" s="32"/>
      <c r="E388" s="32"/>
      <c r="F388" s="32"/>
      <c r="G388" s="32"/>
    </row>
    <row r="389" spans="1:7" ht="22.5" hidden="1" customHeight="1">
      <c r="A389" s="127"/>
      <c r="B389" s="32"/>
      <c r="C389" s="127"/>
      <c r="D389" s="32"/>
      <c r="E389" s="32"/>
      <c r="F389" s="32"/>
      <c r="G389" s="32"/>
    </row>
    <row r="390" spans="1:7" ht="22.5" hidden="1" customHeight="1">
      <c r="A390" s="127"/>
      <c r="B390" s="32"/>
      <c r="C390" s="127"/>
      <c r="D390" s="32"/>
      <c r="E390" s="32"/>
      <c r="F390" s="32"/>
      <c r="G390" s="32"/>
    </row>
    <row r="391" spans="1:7" ht="22.5" hidden="1" customHeight="1">
      <c r="A391" s="127"/>
      <c r="B391" s="32"/>
      <c r="C391" s="127"/>
      <c r="D391" s="32"/>
      <c r="E391" s="32"/>
      <c r="F391" s="32"/>
      <c r="G391" s="32"/>
    </row>
    <row r="392" spans="1:7" ht="22.5" hidden="1" customHeight="1">
      <c r="A392" s="127"/>
      <c r="B392" s="32"/>
      <c r="C392" s="127"/>
      <c r="D392" s="32"/>
      <c r="E392" s="32"/>
      <c r="F392" s="32"/>
      <c r="G392" s="32"/>
    </row>
    <row r="393" spans="1:7" ht="22.5" hidden="1" customHeight="1">
      <c r="A393" s="127"/>
      <c r="B393" s="32"/>
      <c r="C393" s="127"/>
      <c r="D393" s="32"/>
      <c r="E393" s="32"/>
      <c r="F393" s="32"/>
      <c r="G393" s="32"/>
    </row>
    <row r="394" spans="1:7" ht="22.5" hidden="1" customHeight="1">
      <c r="A394" s="127"/>
      <c r="B394" s="32"/>
      <c r="C394" s="127"/>
      <c r="D394" s="32"/>
      <c r="E394" s="32"/>
      <c r="F394" s="32"/>
      <c r="G394" s="32"/>
    </row>
    <row r="395" spans="1:7" ht="22.5" hidden="1" customHeight="1">
      <c r="A395" s="127"/>
      <c r="B395" s="32"/>
      <c r="C395" s="127"/>
      <c r="D395" s="32"/>
      <c r="E395" s="32"/>
      <c r="F395" s="32"/>
      <c r="G395" s="32"/>
    </row>
    <row r="396" spans="1:7" ht="22.5" hidden="1" customHeight="1">
      <c r="A396" s="127"/>
      <c r="B396" s="32"/>
      <c r="C396" s="127"/>
      <c r="D396" s="32"/>
      <c r="E396" s="32"/>
      <c r="F396" s="32"/>
      <c r="G396" s="32"/>
    </row>
    <row r="397" spans="1:7" ht="22.5" hidden="1" customHeight="1">
      <c r="A397" s="127"/>
      <c r="B397" s="32"/>
      <c r="C397" s="127"/>
      <c r="D397" s="32"/>
      <c r="E397" s="32"/>
      <c r="F397" s="32"/>
      <c r="G397" s="32"/>
    </row>
    <row r="398" spans="1:7" ht="22.5" hidden="1" customHeight="1">
      <c r="A398" s="127"/>
      <c r="B398" s="32"/>
      <c r="C398" s="127"/>
      <c r="D398" s="32"/>
      <c r="E398" s="32"/>
      <c r="F398" s="32"/>
      <c r="G398" s="32"/>
    </row>
    <row r="399" spans="1:7" ht="22.5" hidden="1" customHeight="1">
      <c r="A399" s="127"/>
      <c r="B399" s="32"/>
      <c r="C399" s="127"/>
      <c r="D399" s="32"/>
      <c r="E399" s="32"/>
      <c r="F399" s="32"/>
      <c r="G399" s="32"/>
    </row>
    <row r="400" spans="1:7" ht="22.5" hidden="1" customHeight="1">
      <c r="A400" s="127"/>
      <c r="B400" s="32"/>
      <c r="C400" s="127"/>
      <c r="D400" s="32"/>
      <c r="E400" s="32"/>
      <c r="F400" s="32"/>
      <c r="G400" s="32"/>
    </row>
    <row r="401" spans="1:7" ht="22.5" hidden="1" customHeight="1">
      <c r="A401" s="127"/>
      <c r="B401" s="32"/>
      <c r="C401" s="127"/>
      <c r="D401" s="32"/>
      <c r="E401" s="32"/>
      <c r="F401" s="32"/>
      <c r="G401" s="32"/>
    </row>
    <row r="402" spans="1:7" ht="22.5" hidden="1" customHeight="1">
      <c r="A402" s="127"/>
      <c r="B402" s="32"/>
      <c r="C402" s="127"/>
      <c r="D402" s="32"/>
      <c r="E402" s="32"/>
      <c r="F402" s="32"/>
      <c r="G402" s="32"/>
    </row>
    <row r="403" spans="1:7" ht="22.5" hidden="1" customHeight="1">
      <c r="A403" s="127"/>
      <c r="B403" s="32"/>
      <c r="C403" s="127"/>
      <c r="D403" s="32"/>
      <c r="E403" s="32"/>
      <c r="F403" s="32"/>
      <c r="G403" s="32"/>
    </row>
    <row r="404" spans="1:7" ht="22.5" hidden="1" customHeight="1">
      <c r="A404" s="127"/>
      <c r="B404" s="32"/>
      <c r="C404" s="127"/>
      <c r="D404" s="32"/>
      <c r="E404" s="32"/>
      <c r="F404" s="32"/>
      <c r="G404" s="32"/>
    </row>
    <row r="405" spans="1:7" ht="22.5" hidden="1" customHeight="1">
      <c r="A405" s="127"/>
      <c r="B405" s="32"/>
      <c r="C405" s="127"/>
      <c r="D405" s="32"/>
      <c r="E405" s="32"/>
      <c r="F405" s="32"/>
      <c r="G405" s="32"/>
    </row>
    <row r="406" spans="1:7" ht="22.5" hidden="1" customHeight="1">
      <c r="A406" s="127"/>
      <c r="B406" s="32"/>
      <c r="C406" s="127"/>
      <c r="D406" s="32"/>
      <c r="E406" s="32"/>
      <c r="F406" s="32"/>
      <c r="G406" s="32"/>
    </row>
    <row r="407" spans="1:7" ht="22.5" hidden="1" customHeight="1">
      <c r="A407" s="127"/>
      <c r="B407" s="32"/>
      <c r="C407" s="127"/>
      <c r="D407" s="32"/>
      <c r="E407" s="32"/>
      <c r="F407" s="32"/>
      <c r="G407" s="32"/>
    </row>
    <row r="408" spans="1:7" ht="22.5" hidden="1" customHeight="1">
      <c r="A408" s="127"/>
      <c r="B408" s="32"/>
      <c r="C408" s="127"/>
      <c r="D408" s="32"/>
      <c r="E408" s="32"/>
      <c r="F408" s="32"/>
      <c r="G408" s="32"/>
    </row>
    <row r="409" spans="1:7" ht="22.5" hidden="1" customHeight="1">
      <c r="A409" s="127"/>
      <c r="B409" s="32"/>
      <c r="C409" s="127"/>
      <c r="D409" s="32"/>
      <c r="E409" s="32"/>
      <c r="F409" s="32"/>
      <c r="G409" s="32"/>
    </row>
    <row r="410" spans="1:7" ht="22.5" hidden="1" customHeight="1">
      <c r="A410" s="127"/>
      <c r="B410" s="32"/>
      <c r="C410" s="127"/>
      <c r="D410" s="32"/>
      <c r="E410" s="32"/>
      <c r="F410" s="32"/>
      <c r="G410" s="32"/>
    </row>
    <row r="411" spans="1:7" ht="22.5" hidden="1" customHeight="1">
      <c r="A411" s="127"/>
      <c r="B411" s="32"/>
      <c r="C411" s="127"/>
      <c r="D411" s="32"/>
      <c r="E411" s="32"/>
      <c r="F411" s="32"/>
      <c r="G411" s="32"/>
    </row>
    <row r="412" spans="1:7" ht="22.5" hidden="1" customHeight="1">
      <c r="A412" s="127"/>
      <c r="B412" s="32"/>
      <c r="C412" s="127"/>
      <c r="D412" s="32"/>
      <c r="E412" s="32"/>
      <c r="F412" s="32"/>
      <c r="G412" s="32"/>
    </row>
    <row r="413" spans="1:7" ht="22.5" hidden="1" customHeight="1">
      <c r="A413" s="127"/>
      <c r="B413" s="32"/>
      <c r="C413" s="127"/>
      <c r="D413" s="32"/>
      <c r="E413" s="32"/>
      <c r="F413" s="32"/>
      <c r="G413" s="32"/>
    </row>
    <row r="414" spans="1:7" ht="22.5" hidden="1" customHeight="1">
      <c r="A414" s="127"/>
      <c r="B414" s="32"/>
      <c r="C414" s="127"/>
      <c r="D414" s="32"/>
      <c r="E414" s="32"/>
      <c r="F414" s="32"/>
      <c r="G414" s="32"/>
    </row>
    <row r="415" spans="1:7" ht="22.5" hidden="1" customHeight="1">
      <c r="A415" s="127"/>
      <c r="B415" s="32"/>
      <c r="C415" s="127"/>
      <c r="D415" s="32"/>
      <c r="E415" s="32"/>
      <c r="F415" s="32"/>
      <c r="G415" s="32"/>
    </row>
    <row r="416" spans="1:7" ht="22.5" hidden="1" customHeight="1">
      <c r="A416" s="127"/>
      <c r="B416" s="32"/>
      <c r="C416" s="127"/>
      <c r="D416" s="32"/>
      <c r="E416" s="32"/>
      <c r="F416" s="32"/>
      <c r="G416" s="32"/>
    </row>
    <row r="417" spans="1:7" ht="22.5" hidden="1" customHeight="1">
      <c r="A417" s="127"/>
      <c r="B417" s="32"/>
      <c r="C417" s="127"/>
      <c r="D417" s="32"/>
      <c r="E417" s="32"/>
      <c r="F417" s="32"/>
      <c r="G417" s="32"/>
    </row>
    <row r="418" spans="1:7" ht="22.5" hidden="1" customHeight="1">
      <c r="A418" s="127"/>
      <c r="B418" s="32"/>
      <c r="C418" s="127"/>
      <c r="D418" s="32"/>
      <c r="E418" s="32"/>
      <c r="F418" s="32"/>
      <c r="G418" s="32"/>
    </row>
    <row r="419" spans="1:7" ht="22.5" hidden="1" customHeight="1">
      <c r="A419" s="127"/>
      <c r="B419" s="32"/>
      <c r="C419" s="127"/>
      <c r="D419" s="32"/>
      <c r="E419" s="32"/>
      <c r="F419" s="32"/>
      <c r="G419" s="32"/>
    </row>
    <row r="420" spans="1:7" ht="22.5" hidden="1" customHeight="1">
      <c r="A420" s="127"/>
      <c r="B420" s="32"/>
      <c r="C420" s="127"/>
      <c r="D420" s="32"/>
      <c r="E420" s="32"/>
      <c r="F420" s="32"/>
      <c r="G420" s="32"/>
    </row>
    <row r="421" spans="1:7" ht="22.5" hidden="1" customHeight="1">
      <c r="A421" s="127"/>
      <c r="B421" s="32"/>
      <c r="C421" s="127"/>
      <c r="D421" s="32"/>
      <c r="E421" s="32"/>
      <c r="F421" s="32"/>
      <c r="G421" s="32"/>
    </row>
    <row r="422" spans="1:7" ht="22.5" hidden="1" customHeight="1">
      <c r="A422" s="127"/>
      <c r="B422" s="32"/>
      <c r="C422" s="127"/>
      <c r="D422" s="32"/>
      <c r="E422" s="32"/>
      <c r="F422" s="32"/>
      <c r="G422" s="32"/>
    </row>
    <row r="423" spans="1:7" ht="22.5" hidden="1" customHeight="1">
      <c r="A423" s="127"/>
      <c r="B423" s="32"/>
      <c r="C423" s="127"/>
      <c r="D423" s="32"/>
      <c r="E423" s="32"/>
      <c r="F423" s="32"/>
      <c r="G423" s="32"/>
    </row>
    <row r="424" spans="1:7" ht="22.5" hidden="1" customHeight="1">
      <c r="A424" s="127"/>
      <c r="B424" s="32"/>
      <c r="C424" s="127"/>
      <c r="D424" s="32"/>
      <c r="E424" s="32"/>
      <c r="F424" s="32"/>
      <c r="G424" s="32"/>
    </row>
    <row r="425" spans="1:7" ht="22.5" hidden="1" customHeight="1">
      <c r="A425" s="127"/>
      <c r="B425" s="32"/>
      <c r="C425" s="127"/>
      <c r="D425" s="32"/>
      <c r="E425" s="32"/>
      <c r="F425" s="32"/>
      <c r="G425" s="32"/>
    </row>
    <row r="426" spans="1:7" ht="22.5" hidden="1" customHeight="1">
      <c r="A426" s="127"/>
      <c r="B426" s="32"/>
      <c r="C426" s="127"/>
      <c r="D426" s="32"/>
      <c r="E426" s="32"/>
      <c r="F426" s="32"/>
      <c r="G426" s="32"/>
    </row>
    <row r="427" spans="1:7" ht="22.5" hidden="1" customHeight="1">
      <c r="A427" s="127"/>
      <c r="B427" s="32"/>
      <c r="C427" s="127"/>
      <c r="D427" s="32"/>
      <c r="E427" s="32"/>
      <c r="F427" s="32"/>
      <c r="G427" s="32"/>
    </row>
    <row r="428" spans="1:7" ht="22.5" hidden="1" customHeight="1">
      <c r="A428" s="127"/>
      <c r="B428" s="32"/>
      <c r="C428" s="127"/>
      <c r="D428" s="32"/>
      <c r="E428" s="32"/>
      <c r="F428" s="32"/>
      <c r="G428" s="32"/>
    </row>
    <row r="429" spans="1:7" ht="22.5" hidden="1" customHeight="1">
      <c r="A429" s="127"/>
      <c r="B429" s="32"/>
      <c r="C429" s="127"/>
      <c r="D429" s="32"/>
      <c r="E429" s="32"/>
      <c r="F429" s="32"/>
      <c r="G429" s="32"/>
    </row>
    <row r="430" spans="1:7" ht="22.5" hidden="1" customHeight="1">
      <c r="A430" s="127"/>
      <c r="B430" s="32"/>
      <c r="C430" s="127"/>
      <c r="D430" s="32"/>
      <c r="E430" s="32"/>
      <c r="F430" s="32"/>
      <c r="G430" s="32"/>
    </row>
    <row r="431" spans="1:7" ht="22.5" hidden="1" customHeight="1">
      <c r="A431" s="127"/>
      <c r="B431" s="32"/>
      <c r="C431" s="127"/>
      <c r="D431" s="32"/>
      <c r="E431" s="32"/>
      <c r="F431" s="32"/>
      <c r="G431" s="32"/>
    </row>
    <row r="432" spans="1:7" ht="22.5" hidden="1" customHeight="1">
      <c r="A432" s="127"/>
      <c r="B432" s="32"/>
      <c r="C432" s="127"/>
      <c r="D432" s="32"/>
      <c r="E432" s="32"/>
      <c r="F432" s="32"/>
      <c r="G432" s="32"/>
    </row>
    <row r="433" spans="1:7" ht="22.5" hidden="1" customHeight="1">
      <c r="A433" s="127"/>
      <c r="B433" s="32"/>
      <c r="C433" s="127"/>
      <c r="D433" s="32"/>
      <c r="E433" s="32"/>
      <c r="F433" s="32"/>
      <c r="G433" s="32"/>
    </row>
    <row r="434" spans="1:7" ht="22.5" hidden="1" customHeight="1">
      <c r="A434" s="127"/>
      <c r="B434" s="32"/>
      <c r="C434" s="127"/>
      <c r="D434" s="32"/>
      <c r="E434" s="32"/>
      <c r="F434" s="32"/>
      <c r="G434" s="32"/>
    </row>
    <row r="435" spans="1:7" ht="22.5" hidden="1" customHeight="1">
      <c r="A435" s="127"/>
      <c r="B435" s="32"/>
      <c r="C435" s="127"/>
      <c r="D435" s="32"/>
      <c r="E435" s="32"/>
      <c r="F435" s="32"/>
      <c r="G435" s="32"/>
    </row>
    <row r="436" spans="1:7" ht="22.5" hidden="1" customHeight="1">
      <c r="A436" s="127"/>
      <c r="B436" s="32"/>
      <c r="C436" s="127"/>
      <c r="D436" s="32"/>
      <c r="E436" s="32"/>
      <c r="F436" s="32"/>
      <c r="G436" s="32"/>
    </row>
    <row r="437" spans="1:7" ht="22.5" hidden="1" customHeight="1">
      <c r="A437" s="127"/>
      <c r="B437" s="32"/>
      <c r="C437" s="127"/>
      <c r="D437" s="32"/>
      <c r="E437" s="32"/>
      <c r="F437" s="32"/>
      <c r="G437" s="32"/>
    </row>
    <row r="438" spans="1:7" ht="22.5" hidden="1" customHeight="1">
      <c r="A438" s="127"/>
      <c r="B438" s="32"/>
      <c r="C438" s="127"/>
      <c r="D438" s="32"/>
      <c r="E438" s="32"/>
      <c r="F438" s="32"/>
      <c r="G438" s="32"/>
    </row>
    <row r="439" spans="1:7" ht="22.5" hidden="1" customHeight="1">
      <c r="A439" s="127"/>
      <c r="B439" s="32"/>
      <c r="C439" s="127"/>
      <c r="D439" s="32"/>
      <c r="E439" s="32"/>
      <c r="F439" s="32"/>
      <c r="G439" s="32"/>
    </row>
    <row r="440" spans="1:7" ht="22.5" hidden="1" customHeight="1">
      <c r="A440" s="127"/>
      <c r="B440" s="32"/>
      <c r="C440" s="127"/>
      <c r="D440" s="32"/>
      <c r="E440" s="32"/>
      <c r="F440" s="32"/>
      <c r="G440" s="32"/>
    </row>
    <row r="441" spans="1:7" ht="22.5" hidden="1" customHeight="1">
      <c r="A441" s="127"/>
      <c r="B441" s="32"/>
      <c r="C441" s="127"/>
      <c r="D441" s="32"/>
      <c r="E441" s="32"/>
      <c r="F441" s="32"/>
      <c r="G441" s="32"/>
    </row>
    <row r="442" spans="1:7" ht="22.5" hidden="1" customHeight="1">
      <c r="A442" s="127"/>
      <c r="B442" s="32"/>
      <c r="C442" s="127"/>
      <c r="D442" s="32"/>
      <c r="E442" s="32"/>
      <c r="F442" s="32"/>
      <c r="G442" s="32"/>
    </row>
    <row r="443" spans="1:7" ht="22.5" hidden="1" customHeight="1">
      <c r="A443" s="127"/>
      <c r="B443" s="32"/>
      <c r="C443" s="127"/>
      <c r="D443" s="32"/>
      <c r="E443" s="32"/>
      <c r="F443" s="32"/>
      <c r="G443" s="32"/>
    </row>
    <row r="444" spans="1:7" ht="22.5" hidden="1" customHeight="1">
      <c r="A444" s="127"/>
      <c r="B444" s="32"/>
      <c r="C444" s="127"/>
      <c r="D444" s="32"/>
      <c r="E444" s="32"/>
      <c r="F444" s="32"/>
      <c r="G444" s="32"/>
    </row>
    <row r="445" spans="1:7" ht="22.5" hidden="1" customHeight="1">
      <c r="A445" s="127"/>
      <c r="B445" s="32"/>
      <c r="C445" s="127"/>
      <c r="D445" s="32"/>
      <c r="E445" s="32"/>
      <c r="F445" s="32"/>
      <c r="G445" s="32"/>
    </row>
    <row r="446" spans="1:7" ht="22.5" hidden="1" customHeight="1">
      <c r="A446" s="127"/>
      <c r="B446" s="32"/>
      <c r="C446" s="127"/>
      <c r="D446" s="32"/>
      <c r="E446" s="32"/>
      <c r="F446" s="32"/>
      <c r="G446" s="32"/>
    </row>
    <row r="447" spans="1:7" ht="22.5" hidden="1" customHeight="1">
      <c r="A447" s="127"/>
      <c r="B447" s="32"/>
      <c r="C447" s="127"/>
      <c r="D447" s="32"/>
      <c r="E447" s="32"/>
      <c r="F447" s="32"/>
      <c r="G447" s="32"/>
    </row>
    <row r="448" spans="1:7" ht="22.5" hidden="1" customHeight="1">
      <c r="A448" s="127"/>
      <c r="B448" s="32"/>
      <c r="C448" s="127"/>
      <c r="D448" s="32"/>
      <c r="E448" s="32"/>
      <c r="F448" s="32"/>
      <c r="G448" s="32"/>
    </row>
    <row r="449" spans="1:7" ht="22.5" hidden="1" customHeight="1">
      <c r="A449" s="127"/>
      <c r="B449" s="32"/>
      <c r="C449" s="127"/>
      <c r="D449" s="32"/>
      <c r="E449" s="32"/>
      <c r="F449" s="32"/>
      <c r="G449" s="32"/>
    </row>
    <row r="450" spans="1:7" ht="22.5" hidden="1" customHeight="1">
      <c r="A450" s="127"/>
      <c r="B450" s="32"/>
      <c r="C450" s="127"/>
      <c r="D450" s="32"/>
      <c r="E450" s="32"/>
      <c r="F450" s="32"/>
      <c r="G450" s="32"/>
    </row>
    <row r="451" spans="1:7" ht="22.5" hidden="1" customHeight="1">
      <c r="A451" s="127"/>
      <c r="B451" s="32"/>
      <c r="C451" s="127"/>
      <c r="D451" s="32"/>
      <c r="E451" s="32"/>
      <c r="F451" s="32"/>
      <c r="G451" s="32"/>
    </row>
    <row r="452" spans="1:7" ht="22.5" hidden="1" customHeight="1">
      <c r="A452" s="127"/>
      <c r="B452" s="32"/>
      <c r="C452" s="127"/>
      <c r="D452" s="32"/>
      <c r="E452" s="32"/>
      <c r="F452" s="32"/>
      <c r="G452" s="32"/>
    </row>
    <row r="453" spans="1:7" ht="22.5" hidden="1" customHeight="1">
      <c r="A453" s="127"/>
      <c r="B453" s="32"/>
      <c r="C453" s="127"/>
      <c r="D453" s="32"/>
      <c r="E453" s="32"/>
      <c r="F453" s="32"/>
      <c r="G453" s="32"/>
    </row>
    <row r="454" spans="1:7" ht="22.5" hidden="1" customHeight="1">
      <c r="A454" s="127"/>
      <c r="B454" s="32"/>
      <c r="C454" s="127"/>
      <c r="D454" s="32"/>
      <c r="E454" s="32"/>
      <c r="F454" s="32"/>
      <c r="G454" s="32"/>
    </row>
    <row r="455" spans="1:7" ht="22.5" hidden="1" customHeight="1">
      <c r="A455" s="127"/>
      <c r="B455" s="32"/>
      <c r="C455" s="127"/>
      <c r="D455" s="32"/>
      <c r="E455" s="32"/>
      <c r="F455" s="32"/>
      <c r="G455" s="32"/>
    </row>
    <row r="456" spans="1:7" ht="22.5" hidden="1" customHeight="1">
      <c r="A456" s="127"/>
      <c r="B456" s="32"/>
      <c r="C456" s="127"/>
      <c r="D456" s="32"/>
      <c r="E456" s="32"/>
      <c r="F456" s="32"/>
      <c r="G456" s="32"/>
    </row>
    <row r="457" spans="1:7" ht="22.5" hidden="1" customHeight="1">
      <c r="A457" s="127"/>
      <c r="B457" s="32"/>
      <c r="C457" s="127"/>
      <c r="D457" s="32"/>
      <c r="E457" s="32"/>
      <c r="F457" s="32"/>
      <c r="G457" s="32"/>
    </row>
    <row r="458" spans="1:7" ht="22.5" hidden="1" customHeight="1">
      <c r="A458" s="127"/>
      <c r="B458" s="32"/>
      <c r="C458" s="127"/>
      <c r="D458" s="32"/>
      <c r="E458" s="32"/>
      <c r="F458" s="32"/>
      <c r="G458" s="32"/>
    </row>
    <row r="459" spans="1:7" ht="22.5" hidden="1" customHeight="1">
      <c r="A459" s="127"/>
      <c r="B459" s="32"/>
      <c r="C459" s="127"/>
      <c r="D459" s="32"/>
      <c r="E459" s="32"/>
      <c r="F459" s="32"/>
      <c r="G459" s="32"/>
    </row>
    <row r="460" spans="1:7" ht="22.5" hidden="1" customHeight="1">
      <c r="A460" s="127"/>
      <c r="B460" s="32"/>
      <c r="C460" s="127"/>
      <c r="D460" s="32"/>
      <c r="E460" s="32"/>
      <c r="F460" s="32"/>
      <c r="G460" s="32"/>
    </row>
    <row r="461" spans="1:7" ht="22.5" hidden="1" customHeight="1">
      <c r="A461" s="127"/>
      <c r="B461" s="32"/>
      <c r="C461" s="127"/>
      <c r="D461" s="32"/>
      <c r="E461" s="32"/>
      <c r="F461" s="32"/>
      <c r="G461" s="32"/>
    </row>
    <row r="462" spans="1:7" ht="22.5" hidden="1" customHeight="1">
      <c r="A462" s="127"/>
      <c r="B462" s="32"/>
      <c r="C462" s="127"/>
      <c r="D462" s="32"/>
      <c r="E462" s="32"/>
      <c r="F462" s="32"/>
      <c r="G462" s="32"/>
    </row>
    <row r="463" spans="1:7" ht="22.5" hidden="1" customHeight="1">
      <c r="A463" s="127"/>
      <c r="B463" s="32"/>
      <c r="C463" s="127"/>
      <c r="D463" s="32"/>
      <c r="E463" s="32"/>
      <c r="F463" s="32"/>
      <c r="G463" s="32"/>
    </row>
    <row r="464" spans="1:7" ht="22.5" hidden="1" customHeight="1">
      <c r="A464" s="127"/>
      <c r="B464" s="32"/>
      <c r="C464" s="127"/>
      <c r="D464" s="32"/>
      <c r="E464" s="32"/>
      <c r="F464" s="32"/>
      <c r="G464" s="32"/>
    </row>
    <row r="465" spans="1:7" ht="22.5" hidden="1" customHeight="1">
      <c r="A465" s="127"/>
      <c r="B465" s="32"/>
      <c r="C465" s="127"/>
      <c r="D465" s="32"/>
      <c r="E465" s="32"/>
      <c r="F465" s="32"/>
      <c r="G465" s="32"/>
    </row>
    <row r="466" spans="1:7" ht="22.5" hidden="1" customHeight="1">
      <c r="A466" s="127"/>
      <c r="B466" s="32"/>
      <c r="C466" s="127"/>
      <c r="D466" s="32"/>
      <c r="E466" s="32"/>
      <c r="F466" s="32"/>
      <c r="G466" s="32"/>
    </row>
    <row r="467" spans="1:7" ht="22.5" hidden="1" customHeight="1">
      <c r="A467" s="127"/>
      <c r="B467" s="32"/>
      <c r="C467" s="127"/>
      <c r="D467" s="32"/>
      <c r="E467" s="32"/>
      <c r="F467" s="32"/>
      <c r="G467" s="32"/>
    </row>
    <row r="468" spans="1:7" ht="22.5" hidden="1" customHeight="1">
      <c r="A468" s="127"/>
      <c r="B468" s="32"/>
      <c r="C468" s="127"/>
      <c r="D468" s="32"/>
      <c r="E468" s="32"/>
      <c r="F468" s="32"/>
      <c r="G468" s="32"/>
    </row>
    <row r="469" spans="1:7" ht="22.5" hidden="1" customHeight="1">
      <c r="A469" s="127"/>
      <c r="B469" s="32"/>
      <c r="C469" s="127"/>
      <c r="D469" s="32"/>
      <c r="E469" s="32"/>
      <c r="F469" s="32"/>
      <c r="G469" s="32"/>
    </row>
    <row r="470" spans="1:7" ht="22.5" hidden="1" customHeight="1">
      <c r="A470" s="127"/>
      <c r="B470" s="32"/>
      <c r="C470" s="127"/>
      <c r="D470" s="32"/>
      <c r="E470" s="32"/>
      <c r="F470" s="32"/>
      <c r="G470" s="32"/>
    </row>
    <row r="471" spans="1:7" ht="22.5" hidden="1" customHeight="1">
      <c r="A471" s="127"/>
      <c r="B471" s="32"/>
      <c r="C471" s="127"/>
      <c r="D471" s="32"/>
      <c r="E471" s="32"/>
      <c r="F471" s="32"/>
      <c r="G471" s="32"/>
    </row>
    <row r="472" spans="1:7" ht="22.5" hidden="1" customHeight="1">
      <c r="A472" s="127"/>
      <c r="B472" s="32"/>
      <c r="C472" s="127"/>
      <c r="D472" s="32"/>
      <c r="E472" s="32"/>
      <c r="F472" s="32"/>
      <c r="G472" s="32"/>
    </row>
    <row r="473" spans="1:7" ht="22.5" hidden="1" customHeight="1">
      <c r="A473" s="127"/>
      <c r="B473" s="32"/>
      <c r="C473" s="127"/>
      <c r="D473" s="32"/>
      <c r="E473" s="32"/>
      <c r="F473" s="32"/>
      <c r="G473" s="32"/>
    </row>
    <row r="474" spans="1:7" ht="22.5" hidden="1" customHeight="1">
      <c r="A474" s="127"/>
      <c r="B474" s="32"/>
      <c r="C474" s="127"/>
      <c r="D474" s="32"/>
      <c r="E474" s="32"/>
      <c r="F474" s="32"/>
      <c r="G474" s="32"/>
    </row>
    <row r="475" spans="1:7" ht="22.5" hidden="1" customHeight="1">
      <c r="A475" s="127"/>
      <c r="B475" s="32"/>
      <c r="C475" s="127"/>
      <c r="D475" s="32"/>
      <c r="E475" s="32"/>
      <c r="F475" s="32"/>
      <c r="G475" s="32"/>
    </row>
    <row r="476" spans="1:7" ht="22.5" hidden="1" customHeight="1">
      <c r="A476" s="127"/>
      <c r="B476" s="32"/>
      <c r="C476" s="127"/>
      <c r="D476" s="32"/>
      <c r="E476" s="32"/>
      <c r="F476" s="32"/>
      <c r="G476" s="32"/>
    </row>
    <row r="477" spans="1:7" ht="22.5" hidden="1" customHeight="1">
      <c r="A477" s="127"/>
      <c r="B477" s="32"/>
      <c r="C477" s="127"/>
      <c r="D477" s="32"/>
      <c r="E477" s="32"/>
      <c r="F477" s="32"/>
      <c r="G477" s="32"/>
    </row>
    <row r="478" spans="1:7" ht="22.5" hidden="1" customHeight="1">
      <c r="A478" s="127"/>
      <c r="B478" s="32"/>
      <c r="C478" s="127"/>
      <c r="D478" s="32"/>
      <c r="E478" s="32"/>
      <c r="F478" s="32"/>
      <c r="G478" s="32"/>
    </row>
    <row r="479" spans="1:7" ht="22.5" hidden="1" customHeight="1">
      <c r="A479" s="127"/>
      <c r="B479" s="32"/>
      <c r="C479" s="127"/>
      <c r="D479" s="32"/>
      <c r="E479" s="32"/>
      <c r="F479" s="32"/>
      <c r="G479" s="32"/>
    </row>
    <row r="480" spans="1:7" ht="22.5" hidden="1" customHeight="1">
      <c r="A480" s="127"/>
      <c r="B480" s="32"/>
      <c r="C480" s="127"/>
      <c r="D480" s="32"/>
      <c r="E480" s="32"/>
      <c r="F480" s="32"/>
      <c r="G480" s="32"/>
    </row>
    <row r="481" spans="1:7" ht="22.5" hidden="1" customHeight="1">
      <c r="A481" s="127"/>
      <c r="B481" s="32"/>
      <c r="C481" s="127"/>
      <c r="D481" s="32"/>
      <c r="E481" s="32"/>
      <c r="F481" s="32"/>
      <c r="G481" s="32"/>
    </row>
    <row r="482" spans="1:7" ht="22.5" hidden="1" customHeight="1">
      <c r="A482" s="127"/>
      <c r="B482" s="32"/>
      <c r="C482" s="127"/>
      <c r="D482" s="32"/>
      <c r="E482" s="32"/>
      <c r="F482" s="32"/>
      <c r="G482" s="32"/>
    </row>
    <row r="483" spans="1:7" ht="22.5" hidden="1" customHeight="1">
      <c r="A483" s="127"/>
      <c r="B483" s="32"/>
      <c r="C483" s="127"/>
      <c r="D483" s="32"/>
      <c r="E483" s="32"/>
      <c r="F483" s="32"/>
      <c r="G483" s="32"/>
    </row>
    <row r="484" spans="1:7" ht="22.5" hidden="1" customHeight="1">
      <c r="A484" s="127"/>
      <c r="B484" s="32"/>
      <c r="C484" s="127"/>
      <c r="D484" s="32"/>
      <c r="E484" s="32"/>
      <c r="F484" s="32"/>
      <c r="G484" s="32"/>
    </row>
    <row r="485" spans="1:7" ht="22.5" hidden="1" customHeight="1">
      <c r="A485" s="127"/>
      <c r="B485" s="32"/>
      <c r="C485" s="127"/>
      <c r="D485" s="32"/>
      <c r="E485" s="32"/>
      <c r="F485" s="32"/>
      <c r="G485" s="32"/>
    </row>
    <row r="486" spans="1:7" ht="22.5" hidden="1" customHeight="1">
      <c r="A486" s="127"/>
      <c r="B486" s="32"/>
      <c r="C486" s="127"/>
      <c r="D486" s="32"/>
      <c r="E486" s="32"/>
      <c r="F486" s="32"/>
      <c r="G486" s="32"/>
    </row>
    <row r="487" spans="1:7" ht="22.5" hidden="1" customHeight="1">
      <c r="A487" s="127"/>
      <c r="B487" s="32"/>
      <c r="C487" s="127"/>
      <c r="D487" s="32"/>
      <c r="E487" s="32"/>
      <c r="F487" s="32"/>
      <c r="G487" s="32"/>
    </row>
    <row r="488" spans="1:7" ht="22.5" hidden="1" customHeight="1">
      <c r="A488" s="127"/>
      <c r="B488" s="32"/>
      <c r="C488" s="127"/>
      <c r="D488" s="32"/>
      <c r="E488" s="32"/>
      <c r="F488" s="32"/>
      <c r="G488" s="32"/>
    </row>
    <row r="489" spans="1:7" ht="22.5" hidden="1" customHeight="1">
      <c r="A489" s="127"/>
      <c r="B489" s="32"/>
      <c r="C489" s="127"/>
      <c r="D489" s="32"/>
      <c r="E489" s="32"/>
      <c r="F489" s="32"/>
      <c r="G489" s="32"/>
    </row>
    <row r="490" spans="1:7" ht="22.5" hidden="1" customHeight="1">
      <c r="A490" s="127"/>
      <c r="B490" s="32"/>
      <c r="C490" s="127"/>
      <c r="D490" s="32"/>
      <c r="E490" s="32"/>
      <c r="F490" s="32"/>
      <c r="G490" s="32"/>
    </row>
    <row r="491" spans="1:7" ht="22.5" hidden="1" customHeight="1">
      <c r="A491" s="127"/>
      <c r="B491" s="32"/>
      <c r="C491" s="127"/>
      <c r="D491" s="32"/>
      <c r="E491" s="32"/>
      <c r="F491" s="32"/>
      <c r="G491" s="32"/>
    </row>
    <row r="492" spans="1:7" ht="22.5" hidden="1" customHeight="1">
      <c r="A492" s="127"/>
      <c r="B492" s="32"/>
      <c r="C492" s="127"/>
      <c r="D492" s="32"/>
      <c r="E492" s="32"/>
      <c r="F492" s="32"/>
      <c r="G492" s="32"/>
    </row>
    <row r="493" spans="1:7" ht="22.5" hidden="1" customHeight="1">
      <c r="A493" s="127"/>
      <c r="B493" s="32"/>
      <c r="C493" s="127"/>
      <c r="D493" s="32"/>
      <c r="E493" s="32"/>
      <c r="F493" s="32"/>
      <c r="G493" s="32"/>
    </row>
    <row r="494" spans="1:7" ht="22.5" hidden="1" customHeight="1">
      <c r="A494" s="127"/>
      <c r="B494" s="32"/>
      <c r="C494" s="127"/>
      <c r="D494" s="32"/>
      <c r="E494" s="32"/>
      <c r="F494" s="32"/>
      <c r="G494" s="32"/>
    </row>
    <row r="495" spans="1:7" ht="22.5" hidden="1" customHeight="1">
      <c r="A495" s="127"/>
      <c r="B495" s="32"/>
      <c r="C495" s="127"/>
      <c r="D495" s="32"/>
      <c r="E495" s="32"/>
      <c r="F495" s="32"/>
      <c r="G495" s="32"/>
    </row>
    <row r="496" spans="1:7" ht="22.5" hidden="1" customHeight="1">
      <c r="A496" s="127"/>
      <c r="B496" s="32"/>
      <c r="C496" s="127"/>
      <c r="D496" s="32"/>
      <c r="E496" s="32"/>
      <c r="F496" s="32"/>
      <c r="G496" s="32"/>
    </row>
    <row r="497" spans="1:7" ht="22.5" hidden="1" customHeight="1">
      <c r="A497" s="127"/>
      <c r="B497" s="32"/>
      <c r="C497" s="127"/>
      <c r="D497" s="32"/>
      <c r="E497" s="32"/>
      <c r="F497" s="32"/>
      <c r="G497" s="32"/>
    </row>
    <row r="498" spans="1:7" ht="22.5" hidden="1" customHeight="1">
      <c r="A498" s="127"/>
      <c r="B498" s="32"/>
      <c r="C498" s="127"/>
      <c r="D498" s="32"/>
      <c r="E498" s="32"/>
      <c r="F498" s="32"/>
      <c r="G498" s="32"/>
    </row>
    <row r="499" spans="1:7" ht="22.5" hidden="1" customHeight="1">
      <c r="A499" s="127"/>
      <c r="B499" s="32"/>
      <c r="C499" s="127"/>
      <c r="D499" s="32"/>
      <c r="E499" s="32"/>
      <c r="F499" s="32"/>
      <c r="G499" s="32"/>
    </row>
    <row r="500" spans="1:7" ht="22.5" hidden="1" customHeight="1">
      <c r="A500" s="127"/>
      <c r="B500" s="32"/>
      <c r="C500" s="127"/>
      <c r="D500" s="32"/>
      <c r="E500" s="32"/>
      <c r="F500" s="32"/>
      <c r="G500" s="32"/>
    </row>
    <row r="501" spans="1:7" ht="22.5" hidden="1" customHeight="1">
      <c r="A501" s="127"/>
      <c r="B501" s="32"/>
      <c r="C501" s="127"/>
      <c r="D501" s="32"/>
      <c r="E501" s="32"/>
      <c r="F501" s="32"/>
      <c r="G501" s="32"/>
    </row>
    <row r="502" spans="1:7" ht="22.5" hidden="1" customHeight="1">
      <c r="A502" s="127"/>
      <c r="B502" s="32"/>
      <c r="C502" s="127"/>
      <c r="D502" s="32"/>
      <c r="E502" s="32"/>
      <c r="F502" s="32"/>
      <c r="G502" s="32"/>
    </row>
    <row r="503" spans="1:7" ht="22.5" hidden="1" customHeight="1">
      <c r="A503" s="127"/>
      <c r="B503" s="32"/>
      <c r="C503" s="127"/>
      <c r="D503" s="32"/>
      <c r="E503" s="32"/>
      <c r="F503" s="32"/>
      <c r="G503" s="32"/>
    </row>
    <row r="504" spans="1:7" ht="22.5" hidden="1" customHeight="1">
      <c r="A504" s="127"/>
      <c r="B504" s="32"/>
      <c r="C504" s="127"/>
      <c r="D504" s="32"/>
      <c r="E504" s="32"/>
      <c r="F504" s="32"/>
      <c r="G504" s="32"/>
    </row>
    <row r="505" spans="1:7" ht="22.5" hidden="1" customHeight="1">
      <c r="A505" s="127"/>
      <c r="B505" s="32"/>
      <c r="C505" s="127"/>
      <c r="D505" s="32"/>
      <c r="E505" s="32"/>
      <c r="F505" s="32"/>
      <c r="G505" s="32"/>
    </row>
    <row r="506" spans="1:7" ht="22.5" hidden="1" customHeight="1">
      <c r="A506" s="127"/>
      <c r="B506" s="32"/>
      <c r="C506" s="127"/>
      <c r="D506" s="32"/>
      <c r="E506" s="32"/>
      <c r="F506" s="32"/>
      <c r="G506" s="32"/>
    </row>
    <row r="507" spans="1:7" ht="22.5" hidden="1" customHeight="1">
      <c r="A507" s="127"/>
      <c r="B507" s="32"/>
      <c r="C507" s="127"/>
      <c r="D507" s="32"/>
      <c r="E507" s="32"/>
      <c r="F507" s="32"/>
      <c r="G507" s="32"/>
    </row>
    <row r="508" spans="1:7" ht="22.5" hidden="1" customHeight="1">
      <c r="A508" s="127"/>
      <c r="B508" s="32"/>
      <c r="C508" s="127"/>
      <c r="D508" s="32"/>
      <c r="E508" s="32"/>
      <c r="F508" s="32"/>
      <c r="G508" s="32"/>
    </row>
    <row r="509" spans="1:7" ht="22.5" hidden="1" customHeight="1">
      <c r="A509" s="127"/>
      <c r="B509" s="32"/>
      <c r="C509" s="127"/>
      <c r="D509" s="32"/>
      <c r="E509" s="32"/>
      <c r="F509" s="32"/>
      <c r="G509" s="32"/>
    </row>
    <row r="510" spans="1:7" ht="22.5" hidden="1" customHeight="1">
      <c r="A510" s="127"/>
      <c r="B510" s="32"/>
      <c r="C510" s="127"/>
      <c r="D510" s="32"/>
      <c r="E510" s="32"/>
      <c r="F510" s="32"/>
      <c r="G510" s="32"/>
    </row>
    <row r="511" spans="1:7" ht="22.5" hidden="1" customHeight="1">
      <c r="A511" s="127"/>
      <c r="B511" s="32"/>
      <c r="C511" s="127"/>
      <c r="D511" s="32"/>
      <c r="E511" s="32"/>
      <c r="F511" s="32"/>
      <c r="G511" s="32"/>
    </row>
    <row r="512" spans="1:7" ht="22.5" hidden="1" customHeight="1">
      <c r="A512" s="127"/>
      <c r="B512" s="32"/>
      <c r="C512" s="127"/>
      <c r="D512" s="32"/>
      <c r="E512" s="32"/>
      <c r="F512" s="32"/>
      <c r="G512" s="32"/>
    </row>
    <row r="513" spans="1:7" ht="22.5" hidden="1" customHeight="1">
      <c r="A513" s="127"/>
      <c r="B513" s="32"/>
      <c r="C513" s="127"/>
      <c r="D513" s="32"/>
      <c r="E513" s="32"/>
      <c r="F513" s="32"/>
      <c r="G513" s="32"/>
    </row>
    <row r="514" spans="1:7" ht="22.5" hidden="1" customHeight="1">
      <c r="A514" s="127"/>
      <c r="B514" s="32"/>
      <c r="C514" s="127"/>
      <c r="D514" s="32"/>
      <c r="E514" s="32"/>
      <c r="F514" s="32"/>
      <c r="G514" s="32"/>
    </row>
    <row r="515" spans="1:7" ht="22.5" hidden="1" customHeight="1">
      <c r="A515" s="127"/>
      <c r="B515" s="32"/>
      <c r="C515" s="127"/>
      <c r="D515" s="32"/>
      <c r="E515" s="32"/>
      <c r="F515" s="32"/>
      <c r="G515" s="32"/>
    </row>
    <row r="516" spans="1:7" ht="22.5" hidden="1" customHeight="1">
      <c r="A516" s="127"/>
      <c r="B516" s="32"/>
      <c r="C516" s="127"/>
      <c r="D516" s="32"/>
      <c r="E516" s="32"/>
      <c r="F516" s="32"/>
      <c r="G516" s="32"/>
    </row>
    <row r="517" spans="1:7" ht="22.5" hidden="1" customHeight="1">
      <c r="A517" s="127"/>
      <c r="B517" s="32"/>
      <c r="C517" s="127"/>
      <c r="D517" s="32"/>
      <c r="E517" s="32"/>
      <c r="F517" s="32"/>
      <c r="G517" s="32"/>
    </row>
    <row r="518" spans="1:7" ht="22.5" hidden="1" customHeight="1">
      <c r="A518" s="127"/>
      <c r="B518" s="32"/>
      <c r="C518" s="127"/>
      <c r="D518" s="32"/>
      <c r="E518" s="32"/>
      <c r="F518" s="32"/>
      <c r="G518" s="32"/>
    </row>
    <row r="519" spans="1:7" ht="22.5" hidden="1" customHeight="1">
      <c r="A519" s="127"/>
      <c r="B519" s="32"/>
      <c r="C519" s="127"/>
      <c r="D519" s="32"/>
      <c r="E519" s="32"/>
      <c r="F519" s="32"/>
      <c r="G519" s="32"/>
    </row>
    <row r="520" spans="1:7" ht="22.5" hidden="1" customHeight="1">
      <c r="A520" s="127"/>
      <c r="B520" s="32"/>
      <c r="C520" s="127"/>
      <c r="D520" s="32"/>
      <c r="E520" s="32"/>
      <c r="F520" s="32"/>
      <c r="G520" s="32"/>
    </row>
    <row r="521" spans="1:7" ht="22.5" hidden="1" customHeight="1">
      <c r="A521" s="127"/>
      <c r="B521" s="32"/>
      <c r="C521" s="127"/>
      <c r="D521" s="32"/>
      <c r="E521" s="32"/>
      <c r="F521" s="32"/>
      <c r="G521" s="32"/>
    </row>
    <row r="522" spans="1:7" ht="22.5" hidden="1" customHeight="1">
      <c r="A522" s="127"/>
      <c r="B522" s="32"/>
      <c r="C522" s="127"/>
      <c r="D522" s="32"/>
      <c r="E522" s="32"/>
      <c r="F522" s="32"/>
      <c r="G522" s="32"/>
    </row>
    <row r="523" spans="1:7" ht="22.5" hidden="1" customHeight="1">
      <c r="A523" s="127"/>
      <c r="B523" s="32"/>
      <c r="C523" s="127"/>
      <c r="D523" s="32"/>
      <c r="E523" s="32"/>
      <c r="F523" s="32"/>
      <c r="G523" s="32"/>
    </row>
    <row r="524" spans="1:7" ht="22.5" hidden="1" customHeight="1">
      <c r="A524" s="127"/>
      <c r="B524" s="32"/>
      <c r="C524" s="127"/>
      <c r="D524" s="32"/>
      <c r="E524" s="32"/>
      <c r="F524" s="32"/>
      <c r="G524" s="32"/>
    </row>
    <row r="525" spans="1:7" ht="22.5" hidden="1" customHeight="1">
      <c r="A525" s="127"/>
      <c r="B525" s="32"/>
      <c r="C525" s="127"/>
      <c r="D525" s="32"/>
      <c r="E525" s="32"/>
      <c r="F525" s="32"/>
      <c r="G525" s="32"/>
    </row>
    <row r="526" spans="1:7" ht="22.5" hidden="1" customHeight="1">
      <c r="A526" s="127"/>
      <c r="B526" s="32"/>
      <c r="C526" s="127"/>
      <c r="D526" s="32"/>
      <c r="E526" s="32"/>
      <c r="F526" s="32"/>
      <c r="G526" s="32"/>
    </row>
    <row r="527" spans="1:7" ht="22.5" hidden="1" customHeight="1">
      <c r="A527" s="127"/>
      <c r="B527" s="32"/>
      <c r="C527" s="127"/>
      <c r="D527" s="32"/>
      <c r="E527" s="32"/>
      <c r="F527" s="32"/>
      <c r="G527" s="32"/>
    </row>
    <row r="528" spans="1:7" ht="22.5" hidden="1" customHeight="1">
      <c r="A528" s="127"/>
      <c r="B528" s="32"/>
      <c r="C528" s="127"/>
      <c r="D528" s="32"/>
      <c r="E528" s="32"/>
      <c r="F528" s="32"/>
      <c r="G528" s="32"/>
    </row>
    <row r="529" spans="1:7" ht="22.5" hidden="1" customHeight="1">
      <c r="A529" s="127"/>
      <c r="B529" s="32"/>
      <c r="C529" s="127"/>
      <c r="D529" s="32"/>
      <c r="E529" s="32"/>
      <c r="F529" s="32"/>
      <c r="G529" s="32"/>
    </row>
    <row r="530" spans="1:7" ht="22.5" hidden="1" customHeight="1">
      <c r="A530" s="127"/>
      <c r="B530" s="32"/>
      <c r="C530" s="127"/>
      <c r="D530" s="32"/>
      <c r="E530" s="32"/>
      <c r="F530" s="32"/>
      <c r="G530" s="32"/>
    </row>
    <row r="531" spans="1:7" ht="22.5" hidden="1" customHeight="1">
      <c r="A531" s="127"/>
      <c r="B531" s="32"/>
      <c r="C531" s="127"/>
      <c r="D531" s="32"/>
      <c r="E531" s="32"/>
      <c r="F531" s="32"/>
      <c r="G531" s="32"/>
    </row>
    <row r="532" spans="1:7" ht="22.5" hidden="1" customHeight="1">
      <c r="A532" s="127"/>
      <c r="B532" s="32"/>
      <c r="C532" s="127"/>
      <c r="D532" s="32"/>
      <c r="E532" s="32"/>
      <c r="F532" s="32"/>
      <c r="G532" s="32"/>
    </row>
    <row r="533" spans="1:7" ht="22.5" hidden="1" customHeight="1">
      <c r="A533" s="127"/>
      <c r="B533" s="32"/>
      <c r="C533" s="127"/>
      <c r="D533" s="32"/>
      <c r="E533" s="32"/>
      <c r="F533" s="32"/>
      <c r="G533" s="32"/>
    </row>
    <row r="534" spans="1:7" ht="22.5" hidden="1" customHeight="1">
      <c r="A534" s="127"/>
      <c r="B534" s="32"/>
      <c r="C534" s="127"/>
      <c r="D534" s="32"/>
      <c r="E534" s="32"/>
      <c r="F534" s="32"/>
      <c r="G534" s="32"/>
    </row>
    <row r="535" spans="1:7" ht="22.5" hidden="1" customHeight="1">
      <c r="A535" s="127"/>
      <c r="B535" s="32"/>
      <c r="C535" s="127"/>
      <c r="D535" s="32"/>
      <c r="E535" s="32"/>
      <c r="F535" s="32"/>
      <c r="G535" s="32"/>
    </row>
    <row r="536" spans="1:7" ht="22.5" hidden="1" customHeight="1">
      <c r="A536" s="127"/>
      <c r="B536" s="32"/>
      <c r="C536" s="127"/>
      <c r="D536" s="32"/>
      <c r="E536" s="32"/>
      <c r="F536" s="32"/>
      <c r="G536" s="32"/>
    </row>
    <row r="537" spans="1:7" ht="22.5" hidden="1" customHeight="1">
      <c r="A537" s="127"/>
      <c r="B537" s="32"/>
      <c r="C537" s="127"/>
      <c r="D537" s="32"/>
      <c r="E537" s="32"/>
      <c r="F537" s="32"/>
      <c r="G537" s="32"/>
    </row>
    <row r="538" spans="1:7" ht="22.5" hidden="1" customHeight="1">
      <c r="A538" s="127"/>
      <c r="B538" s="32"/>
      <c r="C538" s="127"/>
      <c r="D538" s="32"/>
      <c r="E538" s="32"/>
      <c r="F538" s="32"/>
      <c r="G538" s="32"/>
    </row>
    <row r="539" spans="1:7" ht="22.5" hidden="1" customHeight="1">
      <c r="A539" s="127"/>
      <c r="B539" s="32"/>
      <c r="C539" s="127"/>
      <c r="D539" s="32"/>
      <c r="E539" s="32"/>
      <c r="F539" s="32"/>
      <c r="G539" s="32"/>
    </row>
    <row r="540" spans="1:7" ht="22.5" hidden="1" customHeight="1">
      <c r="A540" s="127"/>
      <c r="B540" s="32"/>
      <c r="C540" s="127"/>
      <c r="D540" s="32"/>
      <c r="E540" s="32"/>
      <c r="F540" s="32"/>
      <c r="G540" s="32"/>
    </row>
    <row r="541" spans="1:7" ht="22.5" hidden="1" customHeight="1">
      <c r="A541" s="127"/>
      <c r="B541" s="32"/>
      <c r="C541" s="127"/>
      <c r="D541" s="32"/>
      <c r="E541" s="32"/>
      <c r="F541" s="32"/>
      <c r="G541" s="32"/>
    </row>
    <row r="542" spans="1:7" ht="22.5" hidden="1" customHeight="1">
      <c r="A542" s="127"/>
      <c r="B542" s="32"/>
      <c r="C542" s="127"/>
      <c r="D542" s="32"/>
      <c r="E542" s="32"/>
      <c r="F542" s="32"/>
      <c r="G542" s="32"/>
    </row>
    <row r="543" spans="1:7" ht="22.5" hidden="1" customHeight="1">
      <c r="A543" s="127"/>
      <c r="B543" s="32"/>
      <c r="C543" s="127"/>
      <c r="D543" s="32"/>
      <c r="E543" s="32"/>
      <c r="F543" s="32"/>
      <c r="G543" s="32"/>
    </row>
    <row r="544" spans="1:7" ht="22.5" hidden="1" customHeight="1">
      <c r="A544" s="127"/>
      <c r="B544" s="32"/>
      <c r="C544" s="127"/>
      <c r="D544" s="32"/>
      <c r="E544" s="32"/>
      <c r="F544" s="32"/>
      <c r="G544" s="32"/>
    </row>
    <row r="545" spans="1:7" ht="22.5" hidden="1" customHeight="1">
      <c r="A545" s="127"/>
      <c r="B545" s="32"/>
      <c r="C545" s="127"/>
      <c r="D545" s="32"/>
      <c r="E545" s="32"/>
      <c r="F545" s="32"/>
      <c r="G545" s="32"/>
    </row>
    <row r="546" spans="1:7" ht="22.5" hidden="1" customHeight="1">
      <c r="A546" s="127"/>
      <c r="B546" s="32"/>
      <c r="C546" s="127"/>
      <c r="D546" s="32"/>
      <c r="E546" s="32"/>
      <c r="F546" s="32"/>
      <c r="G546" s="32"/>
    </row>
    <row r="547" spans="1:7" ht="22.5" hidden="1" customHeight="1">
      <c r="A547" s="127"/>
      <c r="B547" s="32"/>
      <c r="C547" s="127"/>
      <c r="D547" s="32"/>
      <c r="E547" s="32"/>
      <c r="F547" s="32"/>
      <c r="G547" s="32"/>
    </row>
    <row r="548" spans="1:7" ht="22.5" hidden="1" customHeight="1">
      <c r="A548" s="127"/>
      <c r="B548" s="32"/>
      <c r="C548" s="127"/>
      <c r="D548" s="32"/>
      <c r="E548" s="32"/>
      <c r="F548" s="32"/>
      <c r="G548" s="32"/>
    </row>
    <row r="549" spans="1:7" ht="22.5" hidden="1" customHeight="1">
      <c r="A549" s="127"/>
      <c r="B549" s="32"/>
      <c r="C549" s="127"/>
      <c r="D549" s="32"/>
      <c r="E549" s="32"/>
      <c r="F549" s="32"/>
      <c r="G549" s="32"/>
    </row>
    <row r="550" spans="1:7" ht="22.5" hidden="1" customHeight="1">
      <c r="A550" s="127"/>
      <c r="B550" s="32"/>
      <c r="C550" s="127"/>
      <c r="D550" s="32"/>
      <c r="E550" s="32"/>
      <c r="F550" s="32"/>
      <c r="G550" s="32"/>
    </row>
    <row r="551" spans="1:7" ht="22.5" hidden="1" customHeight="1">
      <c r="A551" s="127"/>
      <c r="B551" s="32"/>
      <c r="C551" s="127"/>
      <c r="D551" s="32"/>
      <c r="E551" s="32"/>
      <c r="F551" s="32"/>
      <c r="G551" s="32"/>
    </row>
    <row r="552" spans="1:7" ht="22.5" hidden="1" customHeight="1">
      <c r="A552" s="127"/>
      <c r="B552" s="32"/>
      <c r="C552" s="127"/>
      <c r="D552" s="32"/>
      <c r="E552" s="32"/>
      <c r="F552" s="32"/>
      <c r="G552" s="32"/>
    </row>
    <row r="553" spans="1:7" ht="22.5" hidden="1" customHeight="1">
      <c r="A553" s="127"/>
      <c r="B553" s="32"/>
      <c r="C553" s="127"/>
      <c r="D553" s="32"/>
      <c r="E553" s="32"/>
      <c r="F553" s="32"/>
      <c r="G553" s="32"/>
    </row>
    <row r="554" spans="1:7" ht="22.5" hidden="1" customHeight="1">
      <c r="A554" s="127"/>
      <c r="B554" s="32"/>
      <c r="C554" s="127"/>
      <c r="D554" s="32"/>
      <c r="E554" s="32"/>
      <c r="F554" s="32"/>
      <c r="G554" s="32"/>
    </row>
    <row r="555" spans="1:7" ht="22.5" hidden="1" customHeight="1">
      <c r="A555" s="127"/>
      <c r="B555" s="32"/>
      <c r="C555" s="127"/>
      <c r="D555" s="32"/>
      <c r="E555" s="32"/>
      <c r="F555" s="32"/>
      <c r="G555" s="32"/>
    </row>
    <row r="556" spans="1:7" ht="22.5" hidden="1" customHeight="1">
      <c r="A556" s="127"/>
      <c r="B556" s="32"/>
      <c r="C556" s="127"/>
      <c r="D556" s="32"/>
      <c r="E556" s="32"/>
      <c r="F556" s="32"/>
      <c r="G556" s="32"/>
    </row>
    <row r="557" spans="1:7" ht="22.5" hidden="1" customHeight="1">
      <c r="A557" s="127"/>
      <c r="B557" s="32"/>
      <c r="C557" s="127"/>
      <c r="D557" s="32"/>
      <c r="E557" s="32"/>
      <c r="F557" s="32"/>
      <c r="G557" s="32"/>
    </row>
    <row r="558" spans="1:7" ht="22.5" hidden="1" customHeight="1">
      <c r="A558" s="127"/>
      <c r="B558" s="32"/>
      <c r="C558" s="127"/>
      <c r="D558" s="32"/>
      <c r="E558" s="32"/>
      <c r="F558" s="32"/>
      <c r="G558" s="32"/>
    </row>
    <row r="559" spans="1:7" ht="22.5" hidden="1" customHeight="1">
      <c r="A559" s="127"/>
      <c r="B559" s="32"/>
      <c r="C559" s="127"/>
      <c r="D559" s="32"/>
      <c r="E559" s="32"/>
      <c r="F559" s="32"/>
      <c r="G559" s="32"/>
    </row>
    <row r="560" spans="1:7" ht="22.5" hidden="1" customHeight="1">
      <c r="A560" s="127"/>
      <c r="B560" s="32"/>
      <c r="C560" s="127"/>
      <c r="D560" s="32"/>
      <c r="E560" s="32"/>
      <c r="F560" s="32"/>
      <c r="G560" s="32"/>
    </row>
    <row r="561" spans="1:7" ht="22.5" hidden="1" customHeight="1">
      <c r="A561" s="127"/>
      <c r="B561" s="32"/>
      <c r="C561" s="127"/>
      <c r="D561" s="32"/>
      <c r="E561" s="32"/>
      <c r="F561" s="32"/>
      <c r="G561" s="32"/>
    </row>
    <row r="562" spans="1:7" ht="22.5" hidden="1" customHeight="1">
      <c r="A562" s="127"/>
      <c r="B562" s="32"/>
      <c r="C562" s="127"/>
      <c r="D562" s="32"/>
      <c r="E562" s="32"/>
      <c r="F562" s="32"/>
      <c r="G562" s="32"/>
    </row>
    <row r="563" spans="1:7" ht="22.5" hidden="1" customHeight="1">
      <c r="A563" s="127"/>
      <c r="B563" s="32"/>
      <c r="C563" s="127"/>
      <c r="D563" s="32"/>
      <c r="E563" s="32"/>
      <c r="F563" s="32"/>
      <c r="G563" s="32"/>
    </row>
    <row r="564" spans="1:7" ht="22.5" hidden="1" customHeight="1">
      <c r="A564" s="127"/>
      <c r="B564" s="32"/>
      <c r="C564" s="127"/>
      <c r="D564" s="32"/>
      <c r="E564" s="32"/>
      <c r="F564" s="32"/>
      <c r="G564" s="32"/>
    </row>
    <row r="565" spans="1:7" ht="22.5" hidden="1" customHeight="1">
      <c r="A565" s="127"/>
      <c r="B565" s="32"/>
      <c r="C565" s="127"/>
      <c r="D565" s="32"/>
      <c r="E565" s="32"/>
      <c r="F565" s="32"/>
      <c r="G565" s="32"/>
    </row>
    <row r="566" spans="1:7" ht="22.5" hidden="1" customHeight="1">
      <c r="A566" s="127"/>
      <c r="B566" s="32"/>
      <c r="C566" s="127"/>
      <c r="D566" s="32"/>
      <c r="E566" s="32"/>
      <c r="F566" s="32"/>
      <c r="G566" s="32"/>
    </row>
    <row r="567" spans="1:7" ht="22.5" hidden="1" customHeight="1">
      <c r="A567" s="127"/>
      <c r="B567" s="32"/>
      <c r="C567" s="127"/>
      <c r="D567" s="32"/>
      <c r="E567" s="32"/>
      <c r="F567" s="32"/>
      <c r="G567" s="32"/>
    </row>
    <row r="568" spans="1:7" ht="22.5" hidden="1" customHeight="1">
      <c r="A568" s="127"/>
      <c r="B568" s="32"/>
      <c r="C568" s="127"/>
      <c r="D568" s="32"/>
      <c r="E568" s="32"/>
      <c r="F568" s="32"/>
      <c r="G568" s="32"/>
    </row>
    <row r="569" spans="1:7" ht="22.5" hidden="1" customHeight="1">
      <c r="A569" s="127"/>
      <c r="B569" s="32"/>
      <c r="C569" s="127"/>
      <c r="D569" s="32"/>
      <c r="E569" s="32"/>
      <c r="F569" s="32"/>
      <c r="G569" s="32"/>
    </row>
    <row r="570" spans="1:7" ht="22.5" hidden="1" customHeight="1">
      <c r="A570" s="127"/>
      <c r="B570" s="32"/>
      <c r="C570" s="127"/>
      <c r="D570" s="32"/>
      <c r="E570" s="32"/>
      <c r="F570" s="32"/>
      <c r="G570" s="32"/>
    </row>
    <row r="571" spans="1:7" ht="22.5" hidden="1" customHeight="1">
      <c r="A571" s="127"/>
      <c r="B571" s="32"/>
      <c r="C571" s="127"/>
      <c r="D571" s="32"/>
      <c r="E571" s="32"/>
      <c r="F571" s="32"/>
      <c r="G571" s="32"/>
    </row>
    <row r="572" spans="1:7" ht="22.5" hidden="1" customHeight="1">
      <c r="A572" s="127"/>
      <c r="B572" s="32"/>
      <c r="C572" s="127"/>
      <c r="D572" s="32"/>
      <c r="E572" s="32"/>
      <c r="F572" s="32"/>
      <c r="G572" s="32"/>
    </row>
    <row r="573" spans="1:7" ht="22.5" hidden="1" customHeight="1">
      <c r="A573" s="127"/>
      <c r="B573" s="32"/>
      <c r="C573" s="127"/>
      <c r="D573" s="32"/>
      <c r="E573" s="32"/>
      <c r="F573" s="32"/>
      <c r="G573" s="32"/>
    </row>
    <row r="574" spans="1:7" ht="22.5" hidden="1" customHeight="1">
      <c r="A574" s="127"/>
      <c r="B574" s="32"/>
      <c r="C574" s="127"/>
      <c r="D574" s="32"/>
      <c r="E574" s="32"/>
      <c r="F574" s="32"/>
      <c r="G574" s="32"/>
    </row>
    <row r="575" spans="1:7" ht="22.5" hidden="1" customHeight="1">
      <c r="A575" s="127"/>
      <c r="B575" s="32"/>
      <c r="C575" s="127"/>
      <c r="D575" s="32"/>
      <c r="E575" s="32"/>
      <c r="F575" s="32"/>
      <c r="G575" s="32"/>
    </row>
    <row r="576" spans="1:7" ht="22.5" hidden="1" customHeight="1">
      <c r="A576" s="127"/>
      <c r="B576" s="32"/>
      <c r="C576" s="127"/>
      <c r="D576" s="32"/>
      <c r="E576" s="32"/>
      <c r="F576" s="32"/>
      <c r="G576" s="32"/>
    </row>
    <row r="577" spans="1:7" ht="22.5" hidden="1" customHeight="1">
      <c r="A577" s="127"/>
      <c r="B577" s="32"/>
      <c r="C577" s="127"/>
      <c r="D577" s="32"/>
      <c r="E577" s="32"/>
      <c r="F577" s="32"/>
      <c r="G577" s="32"/>
    </row>
    <row r="578" spans="1:7" ht="22.5" hidden="1" customHeight="1">
      <c r="A578" s="127"/>
      <c r="B578" s="32"/>
      <c r="C578" s="127"/>
      <c r="D578" s="32"/>
      <c r="E578" s="32"/>
      <c r="F578" s="32"/>
      <c r="G578" s="32"/>
    </row>
    <row r="579" spans="1:7" ht="22.5" hidden="1" customHeight="1">
      <c r="A579" s="127"/>
      <c r="B579" s="32"/>
      <c r="C579" s="127"/>
      <c r="D579" s="32"/>
      <c r="E579" s="32"/>
      <c r="F579" s="32"/>
      <c r="G579" s="32"/>
    </row>
    <row r="580" spans="1:7" ht="22.5" hidden="1" customHeight="1">
      <c r="A580" s="127"/>
      <c r="B580" s="32"/>
      <c r="C580" s="127"/>
      <c r="D580" s="32"/>
      <c r="E580" s="32"/>
      <c r="F580" s="32"/>
      <c r="G580" s="32"/>
    </row>
    <row r="581" spans="1:7" ht="22.5" hidden="1" customHeight="1">
      <c r="A581" s="127"/>
      <c r="B581" s="32"/>
      <c r="C581" s="127"/>
      <c r="D581" s="32"/>
      <c r="E581" s="32"/>
      <c r="F581" s="32"/>
      <c r="G581" s="32"/>
    </row>
    <row r="582" spans="1:7" ht="22.5" hidden="1" customHeight="1">
      <c r="A582" s="127"/>
      <c r="B582" s="32"/>
      <c r="C582" s="127"/>
      <c r="D582" s="32"/>
      <c r="E582" s="32"/>
      <c r="F582" s="32"/>
      <c r="G582" s="32"/>
    </row>
    <row r="583" spans="1:7" ht="22.5" hidden="1" customHeight="1">
      <c r="A583" s="127"/>
      <c r="B583" s="32"/>
      <c r="C583" s="127"/>
      <c r="D583" s="32"/>
      <c r="E583" s="32"/>
      <c r="F583" s="32"/>
      <c r="G583" s="32"/>
    </row>
    <row r="584" spans="1:7" ht="22.5" hidden="1" customHeight="1">
      <c r="A584" s="127"/>
      <c r="B584" s="32"/>
      <c r="C584" s="127"/>
      <c r="D584" s="32"/>
      <c r="E584" s="32"/>
      <c r="F584" s="32"/>
      <c r="G584" s="32"/>
    </row>
    <row r="585" spans="1:7" ht="22.5" hidden="1" customHeight="1">
      <c r="A585" s="127"/>
      <c r="B585" s="32"/>
      <c r="C585" s="127"/>
      <c r="D585" s="32"/>
      <c r="E585" s="32"/>
      <c r="F585" s="32"/>
      <c r="G585" s="32"/>
    </row>
    <row r="586" spans="1:7" ht="22.5" hidden="1" customHeight="1">
      <c r="A586" s="127"/>
      <c r="B586" s="32"/>
      <c r="C586" s="127"/>
      <c r="D586" s="32"/>
      <c r="E586" s="32"/>
      <c r="F586" s="32"/>
      <c r="G586" s="32"/>
    </row>
    <row r="587" spans="1:7" ht="22.5" hidden="1" customHeight="1">
      <c r="A587" s="127"/>
      <c r="B587" s="32"/>
      <c r="C587" s="127"/>
      <c r="D587" s="32"/>
      <c r="E587" s="32"/>
      <c r="F587" s="32"/>
      <c r="G587" s="32"/>
    </row>
    <row r="588" spans="1:7" ht="22.5" hidden="1" customHeight="1">
      <c r="A588" s="127"/>
      <c r="B588" s="32"/>
      <c r="C588" s="127"/>
      <c r="D588" s="32"/>
      <c r="E588" s="32"/>
      <c r="F588" s="32"/>
      <c r="G588" s="32"/>
    </row>
    <row r="589" spans="1:7" ht="22.5" hidden="1" customHeight="1">
      <c r="A589" s="127"/>
      <c r="B589" s="32"/>
      <c r="C589" s="127"/>
      <c r="D589" s="32"/>
      <c r="E589" s="32"/>
      <c r="F589" s="32"/>
      <c r="G589" s="32"/>
    </row>
    <row r="590" spans="1:7" ht="22.5" hidden="1" customHeight="1">
      <c r="A590" s="127"/>
      <c r="B590" s="32"/>
      <c r="C590" s="127"/>
      <c r="D590" s="32"/>
      <c r="E590" s="32"/>
      <c r="F590" s="32"/>
      <c r="G590" s="32"/>
    </row>
    <row r="591" spans="1:7" ht="22.5" hidden="1" customHeight="1">
      <c r="A591" s="127"/>
      <c r="B591" s="32"/>
      <c r="C591" s="127"/>
      <c r="D591" s="32"/>
      <c r="E591" s="32"/>
      <c r="F591" s="32"/>
      <c r="G591" s="32"/>
    </row>
    <row r="592" spans="1:7" ht="22.5" hidden="1" customHeight="1">
      <c r="A592" s="127"/>
      <c r="B592" s="32"/>
      <c r="C592" s="127"/>
      <c r="D592" s="32"/>
      <c r="E592" s="32"/>
      <c r="F592" s="32"/>
      <c r="G592" s="32"/>
    </row>
    <row r="593" spans="1:7" ht="22.5" hidden="1" customHeight="1">
      <c r="A593" s="127"/>
      <c r="B593" s="32"/>
      <c r="C593" s="127"/>
      <c r="D593" s="32"/>
      <c r="E593" s="32"/>
      <c r="F593" s="32"/>
      <c r="G593" s="32"/>
    </row>
    <row r="594" spans="1:7" ht="22.5" hidden="1" customHeight="1">
      <c r="A594" s="127"/>
      <c r="B594" s="32"/>
      <c r="C594" s="127"/>
      <c r="D594" s="32"/>
      <c r="E594" s="32"/>
      <c r="F594" s="32"/>
      <c r="G594" s="32"/>
    </row>
    <row r="595" spans="1:7" ht="22.5" hidden="1" customHeight="1">
      <c r="A595" s="127"/>
      <c r="B595" s="32"/>
      <c r="C595" s="127"/>
      <c r="D595" s="32"/>
      <c r="E595" s="32"/>
      <c r="F595" s="32"/>
      <c r="G595" s="32"/>
    </row>
    <row r="596" spans="1:7" ht="22.5" hidden="1" customHeight="1">
      <c r="A596" s="127"/>
      <c r="B596" s="32"/>
      <c r="C596" s="127"/>
      <c r="D596" s="32"/>
      <c r="E596" s="32"/>
      <c r="F596" s="32"/>
      <c r="G596" s="32"/>
    </row>
    <row r="597" spans="1:7" ht="22.5" hidden="1" customHeight="1">
      <c r="A597" s="127"/>
      <c r="B597" s="32"/>
      <c r="C597" s="127"/>
      <c r="D597" s="32"/>
      <c r="E597" s="32"/>
      <c r="F597" s="32"/>
      <c r="G597" s="32"/>
    </row>
    <row r="598" spans="1:7" ht="22.5" hidden="1" customHeight="1">
      <c r="A598" s="127"/>
      <c r="B598" s="32"/>
      <c r="C598" s="127"/>
      <c r="D598" s="32"/>
      <c r="E598" s="32"/>
      <c r="F598" s="32"/>
      <c r="G598" s="32"/>
    </row>
    <row r="599" spans="1:7" ht="22.5" hidden="1" customHeight="1">
      <c r="A599" s="127"/>
      <c r="B599" s="32"/>
      <c r="C599" s="127"/>
      <c r="D599" s="32"/>
      <c r="E599" s="32"/>
      <c r="F599" s="32"/>
      <c r="G599" s="32"/>
    </row>
    <row r="600" spans="1:7" ht="22.5" hidden="1" customHeight="1">
      <c r="A600" s="127"/>
      <c r="B600" s="32"/>
      <c r="C600" s="127"/>
      <c r="D600" s="32"/>
      <c r="E600" s="32"/>
      <c r="F600" s="32"/>
      <c r="G600" s="32"/>
    </row>
    <row r="601" spans="1:7" ht="22.5" hidden="1" customHeight="1">
      <c r="A601" s="127"/>
      <c r="B601" s="32"/>
      <c r="C601" s="127"/>
      <c r="D601" s="32"/>
      <c r="E601" s="32"/>
      <c r="F601" s="32"/>
      <c r="G601" s="32"/>
    </row>
    <row r="602" spans="1:7" ht="22.5" hidden="1" customHeight="1">
      <c r="A602" s="127"/>
      <c r="B602" s="32"/>
      <c r="C602" s="127"/>
      <c r="D602" s="32"/>
      <c r="E602" s="32"/>
      <c r="F602" s="32"/>
      <c r="G602" s="32"/>
    </row>
    <row r="603" spans="1:7" ht="22.5" hidden="1" customHeight="1">
      <c r="A603" s="127"/>
      <c r="B603" s="32"/>
      <c r="C603" s="127"/>
      <c r="D603" s="32"/>
      <c r="E603" s="32"/>
      <c r="F603" s="32"/>
      <c r="G603" s="32"/>
    </row>
    <row r="604" spans="1:7" ht="22.5" hidden="1" customHeight="1">
      <c r="A604" s="127"/>
      <c r="B604" s="32"/>
      <c r="C604" s="127"/>
      <c r="D604" s="32"/>
      <c r="E604" s="32"/>
      <c r="F604" s="32"/>
      <c r="G604" s="32"/>
    </row>
    <row r="605" spans="1:7" ht="22.5" hidden="1" customHeight="1">
      <c r="A605" s="127"/>
      <c r="B605" s="32"/>
      <c r="C605" s="127"/>
      <c r="D605" s="32"/>
      <c r="E605" s="32"/>
      <c r="F605" s="32"/>
      <c r="G605" s="32"/>
    </row>
    <row r="606" spans="1:7" ht="22.5" hidden="1" customHeight="1">
      <c r="A606" s="127"/>
      <c r="B606" s="32"/>
      <c r="C606" s="127"/>
      <c r="D606" s="32"/>
      <c r="E606" s="32"/>
      <c r="F606" s="32"/>
      <c r="G606" s="32"/>
    </row>
    <row r="607" spans="1:7" ht="22.5" hidden="1" customHeight="1">
      <c r="A607" s="127"/>
      <c r="B607" s="32"/>
      <c r="C607" s="127"/>
      <c r="D607" s="32"/>
      <c r="E607" s="32"/>
      <c r="F607" s="32"/>
      <c r="G607" s="32"/>
    </row>
    <row r="608" spans="1:7" ht="22.5" hidden="1" customHeight="1">
      <c r="A608" s="127"/>
      <c r="B608" s="32"/>
      <c r="C608" s="127"/>
      <c r="D608" s="32"/>
      <c r="E608" s="32"/>
      <c r="F608" s="32"/>
      <c r="G608" s="32"/>
    </row>
    <row r="609" spans="1:7" ht="22.5" hidden="1" customHeight="1">
      <c r="A609" s="127"/>
      <c r="B609" s="32"/>
      <c r="C609" s="127"/>
      <c r="D609" s="32"/>
      <c r="E609" s="32"/>
      <c r="F609" s="32"/>
      <c r="G609" s="32"/>
    </row>
    <row r="610" spans="1:7" ht="22.5" hidden="1" customHeight="1">
      <c r="A610" s="127"/>
      <c r="B610" s="32"/>
      <c r="C610" s="127"/>
      <c r="D610" s="32"/>
      <c r="E610" s="32"/>
      <c r="F610" s="32"/>
      <c r="G610" s="32"/>
    </row>
    <row r="611" spans="1:7" ht="22.5" hidden="1" customHeight="1">
      <c r="A611" s="127"/>
      <c r="B611" s="32"/>
      <c r="C611" s="127"/>
      <c r="D611" s="32"/>
      <c r="E611" s="32"/>
      <c r="F611" s="32"/>
      <c r="G611" s="32"/>
    </row>
    <row r="612" spans="1:7" ht="22.5" hidden="1" customHeight="1">
      <c r="A612" s="127"/>
      <c r="B612" s="32"/>
      <c r="C612" s="127"/>
      <c r="D612" s="32"/>
      <c r="E612" s="32"/>
      <c r="F612" s="32"/>
      <c r="G612" s="32"/>
    </row>
    <row r="613" spans="1:7" ht="22.5" hidden="1" customHeight="1">
      <c r="A613" s="127"/>
      <c r="B613" s="32"/>
      <c r="C613" s="127"/>
      <c r="D613" s="32"/>
      <c r="E613" s="32"/>
      <c r="F613" s="32"/>
      <c r="G613" s="32"/>
    </row>
    <row r="614" spans="1:7" ht="22.5" hidden="1" customHeight="1">
      <c r="A614" s="127"/>
      <c r="B614" s="32"/>
      <c r="C614" s="127"/>
      <c r="D614" s="32"/>
      <c r="E614" s="32"/>
      <c r="F614" s="32"/>
      <c r="G614" s="32"/>
    </row>
    <row r="615" spans="1:7" ht="22.5" hidden="1" customHeight="1">
      <c r="A615" s="127"/>
      <c r="B615" s="32"/>
      <c r="C615" s="127"/>
      <c r="D615" s="32"/>
      <c r="E615" s="32"/>
      <c r="F615" s="32"/>
      <c r="G615" s="32"/>
    </row>
    <row r="616" spans="1:7" ht="22.5" hidden="1" customHeight="1">
      <c r="A616" s="127"/>
      <c r="B616" s="32"/>
      <c r="C616" s="127"/>
      <c r="D616" s="32"/>
      <c r="E616" s="32"/>
      <c r="F616" s="32"/>
      <c r="G616" s="32"/>
    </row>
    <row r="617" spans="1:7" ht="22.5" hidden="1" customHeight="1">
      <c r="A617" s="127"/>
      <c r="B617" s="32"/>
      <c r="C617" s="127"/>
      <c r="D617" s="32"/>
      <c r="E617" s="32"/>
      <c r="F617" s="32"/>
      <c r="G617" s="32"/>
    </row>
    <row r="618" spans="1:7" ht="22.5" hidden="1" customHeight="1">
      <c r="A618" s="127"/>
      <c r="B618" s="32"/>
      <c r="C618" s="127"/>
      <c r="D618" s="32"/>
      <c r="E618" s="32"/>
      <c r="F618" s="32"/>
      <c r="G618" s="32"/>
    </row>
    <row r="619" spans="1:7" ht="22.5" hidden="1" customHeight="1">
      <c r="A619" s="127"/>
      <c r="B619" s="32"/>
      <c r="C619" s="127"/>
      <c r="D619" s="32"/>
      <c r="E619" s="32"/>
      <c r="F619" s="32"/>
      <c r="G619" s="32"/>
    </row>
    <row r="620" spans="1:7" ht="22.5" hidden="1" customHeight="1">
      <c r="A620" s="127"/>
      <c r="B620" s="32"/>
      <c r="C620" s="127"/>
      <c r="D620" s="32"/>
      <c r="E620" s="32"/>
      <c r="F620" s="32"/>
      <c r="G620" s="32"/>
    </row>
    <row r="621" spans="1:7" ht="22.5" hidden="1" customHeight="1">
      <c r="A621" s="127"/>
      <c r="B621" s="32"/>
      <c r="C621" s="127"/>
      <c r="D621" s="32"/>
      <c r="E621" s="32"/>
      <c r="F621" s="32"/>
      <c r="G621" s="32"/>
    </row>
    <row r="622" spans="1:7" ht="22.5" hidden="1" customHeight="1">
      <c r="A622" s="127"/>
      <c r="B622" s="32"/>
      <c r="C622" s="127"/>
      <c r="D622" s="32"/>
      <c r="E622" s="32"/>
      <c r="F622" s="32"/>
      <c r="G622" s="32"/>
    </row>
    <row r="623" spans="1:7" ht="22.5" hidden="1" customHeight="1">
      <c r="A623" s="127"/>
      <c r="B623" s="32"/>
      <c r="C623" s="127"/>
      <c r="D623" s="32"/>
      <c r="E623" s="32"/>
      <c r="F623" s="32"/>
      <c r="G623" s="32"/>
    </row>
    <row r="624" spans="1:7" ht="22.5" hidden="1" customHeight="1">
      <c r="A624" s="127"/>
      <c r="B624" s="32"/>
      <c r="C624" s="127"/>
      <c r="D624" s="32"/>
      <c r="E624" s="32"/>
      <c r="F624" s="32"/>
      <c r="G624" s="32"/>
    </row>
    <row r="625" spans="1:7" ht="22.5" hidden="1" customHeight="1">
      <c r="A625" s="127"/>
      <c r="B625" s="32"/>
      <c r="C625" s="127"/>
      <c r="D625" s="32"/>
      <c r="E625" s="32"/>
      <c r="F625" s="32"/>
      <c r="G625" s="32"/>
    </row>
    <row r="626" spans="1:7" ht="22.5" hidden="1" customHeight="1">
      <c r="A626" s="127"/>
      <c r="B626" s="32"/>
      <c r="C626" s="127"/>
      <c r="D626" s="32"/>
      <c r="E626" s="32"/>
      <c r="F626" s="32"/>
      <c r="G626" s="32"/>
    </row>
    <row r="627" spans="1:7" ht="22.5" hidden="1" customHeight="1">
      <c r="A627" s="127"/>
      <c r="B627" s="32"/>
      <c r="C627" s="127"/>
      <c r="D627" s="32"/>
      <c r="E627" s="32"/>
      <c r="F627" s="32"/>
      <c r="G627" s="32"/>
    </row>
    <row r="628" spans="1:7" ht="22.5" hidden="1" customHeight="1">
      <c r="A628" s="127"/>
      <c r="B628" s="32"/>
      <c r="C628" s="127"/>
      <c r="D628" s="32"/>
      <c r="E628" s="32"/>
      <c r="F628" s="32"/>
      <c r="G628" s="32"/>
    </row>
    <row r="629" spans="1:7" ht="22.5" hidden="1" customHeight="1">
      <c r="A629" s="127"/>
      <c r="B629" s="32"/>
      <c r="C629" s="127"/>
      <c r="D629" s="32"/>
      <c r="E629" s="32"/>
      <c r="F629" s="32"/>
      <c r="G629" s="32"/>
    </row>
    <row r="630" spans="1:7" ht="22.5" hidden="1" customHeight="1">
      <c r="A630" s="127"/>
      <c r="B630" s="32"/>
      <c r="C630" s="127"/>
      <c r="D630" s="32"/>
      <c r="E630" s="32"/>
      <c r="F630" s="32"/>
      <c r="G630" s="32"/>
    </row>
    <row r="631" spans="1:7" ht="22.5" hidden="1" customHeight="1">
      <c r="A631" s="127"/>
      <c r="B631" s="32"/>
      <c r="C631" s="127"/>
      <c r="D631" s="32"/>
      <c r="E631" s="32"/>
      <c r="F631" s="32"/>
      <c r="G631" s="32"/>
    </row>
    <row r="632" spans="1:7" ht="22.5" hidden="1" customHeight="1">
      <c r="A632" s="127"/>
      <c r="B632" s="32"/>
      <c r="C632" s="127"/>
      <c r="D632" s="32"/>
      <c r="E632" s="32"/>
      <c r="F632" s="32"/>
      <c r="G632" s="32"/>
    </row>
    <row r="633" spans="1:7" ht="22.5" hidden="1" customHeight="1">
      <c r="A633" s="127"/>
      <c r="B633" s="32"/>
      <c r="C633" s="127"/>
      <c r="D633" s="32"/>
      <c r="E633" s="32"/>
      <c r="F633" s="32"/>
      <c r="G633" s="32"/>
    </row>
    <row r="634" spans="1:7" ht="22.5" hidden="1" customHeight="1">
      <c r="A634" s="127"/>
      <c r="B634" s="32"/>
      <c r="C634" s="127"/>
      <c r="D634" s="32"/>
      <c r="E634" s="32"/>
      <c r="F634" s="32"/>
      <c r="G634" s="32"/>
    </row>
    <row r="635" spans="1:7" ht="22.5" hidden="1" customHeight="1">
      <c r="A635" s="127"/>
      <c r="B635" s="32"/>
      <c r="C635" s="127"/>
      <c r="D635" s="32"/>
      <c r="E635" s="32"/>
      <c r="F635" s="32"/>
      <c r="G635" s="32"/>
    </row>
    <row r="636" spans="1:7" ht="22.5" hidden="1" customHeight="1">
      <c r="A636" s="127"/>
      <c r="B636" s="32"/>
      <c r="C636" s="127"/>
      <c r="D636" s="32"/>
      <c r="E636" s="32"/>
      <c r="F636" s="32"/>
      <c r="G636" s="32"/>
    </row>
    <row r="637" spans="1:7" ht="22.5" hidden="1" customHeight="1">
      <c r="A637" s="127"/>
      <c r="B637" s="32"/>
      <c r="C637" s="127"/>
      <c r="D637" s="32"/>
      <c r="E637" s="32"/>
      <c r="F637" s="32"/>
      <c r="G637" s="32"/>
    </row>
    <row r="638" spans="1:7" ht="22.5" hidden="1" customHeight="1">
      <c r="A638" s="127"/>
      <c r="B638" s="32"/>
      <c r="C638" s="127"/>
      <c r="D638" s="32"/>
      <c r="E638" s="32"/>
      <c r="F638" s="32"/>
      <c r="G638" s="32"/>
    </row>
    <row r="639" spans="1:7" ht="22.5" hidden="1" customHeight="1">
      <c r="A639" s="127"/>
      <c r="B639" s="32"/>
      <c r="C639" s="127"/>
      <c r="D639" s="32"/>
      <c r="E639" s="32"/>
      <c r="F639" s="32"/>
      <c r="G639" s="32"/>
    </row>
    <row r="640" spans="1:7" ht="22.5" hidden="1" customHeight="1">
      <c r="A640" s="127"/>
      <c r="B640" s="32"/>
      <c r="C640" s="127"/>
      <c r="D640" s="32"/>
      <c r="E640" s="32"/>
      <c r="F640" s="32"/>
      <c r="G640" s="32"/>
    </row>
    <row r="641" spans="1:7" ht="22.5" hidden="1" customHeight="1">
      <c r="A641" s="127"/>
      <c r="B641" s="32"/>
      <c r="C641" s="127"/>
      <c r="D641" s="32"/>
      <c r="E641" s="32"/>
      <c r="F641" s="32"/>
      <c r="G641" s="32"/>
    </row>
    <row r="642" spans="1:7" ht="22.5" hidden="1" customHeight="1">
      <c r="A642" s="127"/>
      <c r="B642" s="32"/>
      <c r="C642" s="127"/>
      <c r="D642" s="32"/>
      <c r="E642" s="32"/>
      <c r="F642" s="32"/>
      <c r="G642" s="32"/>
    </row>
    <row r="643" spans="1:7" ht="22.5" hidden="1" customHeight="1">
      <c r="A643" s="127"/>
      <c r="B643" s="32"/>
      <c r="C643" s="127"/>
      <c r="D643" s="32"/>
      <c r="E643" s="32"/>
      <c r="F643" s="32"/>
      <c r="G643" s="32"/>
    </row>
    <row r="644" spans="1:7" ht="22.5" hidden="1" customHeight="1">
      <c r="A644" s="127"/>
      <c r="B644" s="32"/>
      <c r="C644" s="127"/>
      <c r="D644" s="32"/>
      <c r="E644" s="32"/>
      <c r="F644" s="32"/>
      <c r="G644" s="32"/>
    </row>
    <row r="645" spans="1:7" ht="22.5" hidden="1" customHeight="1">
      <c r="A645" s="127"/>
      <c r="B645" s="32"/>
      <c r="C645" s="127"/>
      <c r="D645" s="32"/>
      <c r="E645" s="32"/>
      <c r="F645" s="32"/>
      <c r="G645" s="32"/>
    </row>
    <row r="646" spans="1:7" ht="22.5" hidden="1" customHeight="1">
      <c r="A646" s="127"/>
      <c r="B646" s="32"/>
      <c r="C646" s="127"/>
      <c r="D646" s="32"/>
      <c r="E646" s="32"/>
      <c r="F646" s="32"/>
      <c r="G646" s="32"/>
    </row>
    <row r="647" spans="1:7" ht="22.5" hidden="1" customHeight="1">
      <c r="A647" s="127"/>
      <c r="B647" s="32"/>
      <c r="C647" s="127"/>
      <c r="D647" s="32"/>
      <c r="E647" s="32"/>
      <c r="F647" s="32"/>
      <c r="G647" s="32"/>
    </row>
    <row r="648" spans="1:7" ht="22.5" hidden="1" customHeight="1">
      <c r="A648" s="127"/>
      <c r="B648" s="32"/>
      <c r="C648" s="127"/>
      <c r="D648" s="32"/>
      <c r="E648" s="32"/>
      <c r="F648" s="32"/>
      <c r="G648" s="32"/>
    </row>
    <row r="649" spans="1:7" ht="22.5" hidden="1" customHeight="1">
      <c r="A649" s="127"/>
      <c r="B649" s="32"/>
      <c r="C649" s="127"/>
      <c r="D649" s="32"/>
      <c r="E649" s="32"/>
      <c r="F649" s="32"/>
      <c r="G649" s="32"/>
    </row>
    <row r="650" spans="1:7" ht="22.5" hidden="1" customHeight="1">
      <c r="A650" s="127"/>
      <c r="B650" s="32"/>
      <c r="C650" s="127"/>
      <c r="D650" s="32"/>
      <c r="E650" s="32"/>
      <c r="F650" s="32"/>
      <c r="G650" s="32"/>
    </row>
    <row r="651" spans="1:7" ht="22.5" hidden="1" customHeight="1">
      <c r="A651" s="127"/>
      <c r="B651" s="32"/>
      <c r="C651" s="127"/>
      <c r="D651" s="32"/>
      <c r="E651" s="32"/>
      <c r="F651" s="32"/>
      <c r="G651" s="32"/>
    </row>
    <row r="652" spans="1:7" ht="22.5" hidden="1" customHeight="1">
      <c r="A652" s="127"/>
      <c r="B652" s="32"/>
      <c r="C652" s="127"/>
      <c r="D652" s="32"/>
      <c r="E652" s="32"/>
      <c r="F652" s="32"/>
      <c r="G652" s="32"/>
    </row>
    <row r="653" spans="1:7" ht="22.5" hidden="1" customHeight="1">
      <c r="A653" s="127"/>
      <c r="B653" s="32"/>
      <c r="C653" s="127"/>
      <c r="D653" s="32"/>
      <c r="E653" s="32"/>
      <c r="F653" s="32"/>
      <c r="G653" s="32"/>
    </row>
    <row r="654" spans="1:7" ht="22.5" hidden="1" customHeight="1">
      <c r="A654" s="127"/>
      <c r="B654" s="32"/>
      <c r="C654" s="127"/>
      <c r="D654" s="32"/>
      <c r="E654" s="32"/>
      <c r="F654" s="32"/>
      <c r="G654" s="32"/>
    </row>
    <row r="655" spans="1:7" ht="22.5" hidden="1" customHeight="1">
      <c r="A655" s="127"/>
      <c r="B655" s="32"/>
      <c r="C655" s="127"/>
      <c r="D655" s="32"/>
      <c r="E655" s="32"/>
      <c r="F655" s="32"/>
      <c r="G655" s="32"/>
    </row>
    <row r="656" spans="1:7" ht="22.5" hidden="1" customHeight="1">
      <c r="A656" s="127"/>
      <c r="B656" s="32"/>
      <c r="C656" s="127"/>
      <c r="D656" s="32"/>
      <c r="E656" s="32"/>
      <c r="F656" s="32"/>
      <c r="G656" s="32"/>
    </row>
    <row r="657" spans="1:7" ht="22.5" hidden="1" customHeight="1">
      <c r="A657" s="127"/>
      <c r="B657" s="32"/>
      <c r="C657" s="127"/>
      <c r="D657" s="32"/>
      <c r="E657" s="32"/>
      <c r="F657" s="32"/>
      <c r="G657" s="32"/>
    </row>
    <row r="658" spans="1:7" ht="22.5" hidden="1" customHeight="1">
      <c r="A658" s="127"/>
      <c r="B658" s="32"/>
      <c r="C658" s="127"/>
      <c r="D658" s="32"/>
      <c r="E658" s="32"/>
      <c r="F658" s="32"/>
      <c r="G658" s="32"/>
    </row>
    <row r="659" spans="1:7" ht="22.5" hidden="1" customHeight="1">
      <c r="A659" s="127"/>
      <c r="B659" s="32"/>
      <c r="C659" s="127"/>
      <c r="D659" s="32"/>
      <c r="E659" s="32"/>
      <c r="F659" s="32"/>
      <c r="G659" s="32"/>
    </row>
    <row r="660" spans="1:7" ht="22.5" hidden="1" customHeight="1">
      <c r="A660" s="127"/>
      <c r="B660" s="32"/>
      <c r="C660" s="127"/>
      <c r="D660" s="32"/>
      <c r="E660" s="32"/>
      <c r="F660" s="32"/>
      <c r="G660" s="32"/>
    </row>
    <row r="661" spans="1:7" ht="22.5" hidden="1" customHeight="1">
      <c r="A661" s="127"/>
      <c r="B661" s="32"/>
      <c r="C661" s="127"/>
      <c r="D661" s="32"/>
      <c r="E661" s="32"/>
      <c r="F661" s="32"/>
      <c r="G661" s="32"/>
    </row>
    <row r="662" spans="1:7" ht="22.5" hidden="1" customHeight="1">
      <c r="A662" s="127"/>
      <c r="B662" s="32"/>
      <c r="C662" s="127"/>
      <c r="D662" s="32"/>
      <c r="E662" s="32"/>
      <c r="F662" s="32"/>
      <c r="G662" s="32"/>
    </row>
    <row r="663" spans="1:7" ht="22.5" hidden="1" customHeight="1">
      <c r="A663" s="127"/>
      <c r="B663" s="32"/>
      <c r="C663" s="127"/>
      <c r="D663" s="32"/>
      <c r="E663" s="32"/>
      <c r="F663" s="32"/>
      <c r="G663" s="32"/>
    </row>
    <row r="664" spans="1:7" ht="22.5" hidden="1" customHeight="1">
      <c r="A664" s="127"/>
      <c r="B664" s="32"/>
      <c r="C664" s="127"/>
      <c r="D664" s="32"/>
      <c r="E664" s="32"/>
      <c r="F664" s="32"/>
      <c r="G664" s="32"/>
    </row>
    <row r="665" spans="1:7" ht="22.5" hidden="1" customHeight="1">
      <c r="A665" s="127"/>
      <c r="B665" s="32"/>
      <c r="C665" s="127"/>
      <c r="D665" s="32"/>
      <c r="E665" s="32"/>
      <c r="F665" s="32"/>
      <c r="G665" s="32"/>
    </row>
    <row r="666" spans="1:7" ht="22.5" hidden="1" customHeight="1">
      <c r="A666" s="127"/>
      <c r="B666" s="32"/>
      <c r="C666" s="127"/>
      <c r="D666" s="32"/>
      <c r="E666" s="32"/>
      <c r="F666" s="32"/>
      <c r="G666" s="32"/>
    </row>
    <row r="667" spans="1:7" ht="22.5" hidden="1" customHeight="1">
      <c r="A667" s="127"/>
      <c r="B667" s="32"/>
      <c r="C667" s="127"/>
      <c r="D667" s="32"/>
      <c r="E667" s="32"/>
      <c r="F667" s="32"/>
      <c r="G667" s="32"/>
    </row>
    <row r="668" spans="1:7" ht="22.5" hidden="1" customHeight="1">
      <c r="A668" s="127"/>
      <c r="B668" s="32"/>
      <c r="C668" s="127"/>
      <c r="D668" s="32"/>
      <c r="E668" s="32"/>
      <c r="F668" s="32"/>
      <c r="G668" s="32"/>
    </row>
    <row r="669" spans="1:7" ht="22.5" hidden="1" customHeight="1">
      <c r="A669" s="127"/>
      <c r="B669" s="32"/>
      <c r="C669" s="127"/>
      <c r="D669" s="32"/>
      <c r="E669" s="32"/>
      <c r="F669" s="32"/>
      <c r="G669" s="32"/>
    </row>
    <row r="670" spans="1:7" ht="22.5" hidden="1" customHeight="1">
      <c r="A670" s="127"/>
      <c r="B670" s="32"/>
      <c r="C670" s="127"/>
      <c r="D670" s="32"/>
      <c r="E670" s="32"/>
      <c r="F670" s="32"/>
      <c r="G670" s="32"/>
    </row>
    <row r="671" spans="1:7" ht="22.5" hidden="1" customHeight="1">
      <c r="A671" s="127"/>
      <c r="B671" s="32"/>
      <c r="C671" s="127"/>
      <c r="D671" s="32"/>
      <c r="E671" s="32"/>
      <c r="F671" s="32"/>
      <c r="G671" s="32"/>
    </row>
    <row r="672" spans="1:7" ht="22.5" hidden="1" customHeight="1">
      <c r="A672" s="127"/>
      <c r="B672" s="32"/>
      <c r="C672" s="127"/>
      <c r="D672" s="32"/>
      <c r="E672" s="32"/>
      <c r="F672" s="32"/>
      <c r="G672" s="32"/>
    </row>
    <row r="673" spans="1:7" ht="22.5" hidden="1" customHeight="1">
      <c r="A673" s="127"/>
      <c r="B673" s="32"/>
      <c r="C673" s="127"/>
      <c r="D673" s="32"/>
      <c r="E673" s="32"/>
      <c r="F673" s="32"/>
      <c r="G673" s="32"/>
    </row>
    <row r="674" spans="1:7" ht="22.5" hidden="1" customHeight="1">
      <c r="A674" s="127"/>
      <c r="B674" s="32"/>
      <c r="C674" s="127"/>
      <c r="D674" s="32"/>
      <c r="E674" s="32"/>
      <c r="F674" s="32"/>
      <c r="G674" s="32"/>
    </row>
    <row r="675" spans="1:7" ht="22.5" hidden="1" customHeight="1">
      <c r="A675" s="127"/>
      <c r="B675" s="32"/>
      <c r="C675" s="127"/>
      <c r="D675" s="32"/>
      <c r="E675" s="32"/>
      <c r="F675" s="32"/>
      <c r="G675" s="32"/>
    </row>
    <row r="676" spans="1:7" ht="22.5" hidden="1" customHeight="1">
      <c r="A676" s="127"/>
      <c r="B676" s="32"/>
      <c r="C676" s="127"/>
      <c r="D676" s="32"/>
      <c r="E676" s="32"/>
      <c r="F676" s="32"/>
      <c r="G676" s="32"/>
    </row>
    <row r="677" spans="1:7" ht="22.5" hidden="1" customHeight="1">
      <c r="A677" s="127"/>
      <c r="B677" s="32"/>
      <c r="C677" s="127"/>
      <c r="D677" s="32"/>
      <c r="E677" s="32"/>
      <c r="F677" s="32"/>
      <c r="G677" s="32"/>
    </row>
    <row r="678" spans="1:7" ht="22.5" hidden="1" customHeight="1">
      <c r="A678" s="127"/>
      <c r="B678" s="32"/>
      <c r="C678" s="127"/>
      <c r="D678" s="32"/>
      <c r="E678" s="32"/>
      <c r="F678" s="32"/>
      <c r="G678" s="32"/>
    </row>
    <row r="679" spans="1:7" ht="22.5" hidden="1" customHeight="1">
      <c r="A679" s="127"/>
      <c r="B679" s="32"/>
      <c r="C679" s="127"/>
      <c r="D679" s="32"/>
      <c r="E679" s="32"/>
      <c r="F679" s="32"/>
      <c r="G679" s="32"/>
    </row>
    <row r="680" spans="1:7" ht="22.5" hidden="1" customHeight="1">
      <c r="A680" s="127"/>
      <c r="B680" s="32"/>
      <c r="C680" s="127"/>
      <c r="D680" s="32"/>
      <c r="E680" s="32"/>
      <c r="F680" s="32"/>
      <c r="G680" s="32"/>
    </row>
    <row r="681" spans="1:7" ht="22.5" hidden="1" customHeight="1">
      <c r="A681" s="127"/>
      <c r="B681" s="32"/>
      <c r="C681" s="127"/>
      <c r="D681" s="32"/>
      <c r="E681" s="32"/>
      <c r="F681" s="32"/>
      <c r="G681" s="32"/>
    </row>
    <row r="682" spans="1:7" ht="22.5" hidden="1" customHeight="1">
      <c r="A682" s="127"/>
      <c r="B682" s="32"/>
      <c r="C682" s="127"/>
      <c r="D682" s="32"/>
      <c r="E682" s="32"/>
      <c r="F682" s="32"/>
      <c r="G682" s="32"/>
    </row>
    <row r="683" spans="1:7" ht="22.5" hidden="1" customHeight="1">
      <c r="A683" s="127"/>
      <c r="B683" s="32"/>
      <c r="C683" s="127"/>
      <c r="D683" s="32"/>
      <c r="E683" s="32"/>
      <c r="F683" s="32"/>
      <c r="G683" s="32"/>
    </row>
    <row r="684" spans="1:7" ht="22.5" hidden="1" customHeight="1">
      <c r="A684" s="127"/>
      <c r="B684" s="32"/>
      <c r="C684" s="127"/>
      <c r="D684" s="32"/>
      <c r="E684" s="32"/>
      <c r="F684" s="32"/>
      <c r="G684" s="32"/>
    </row>
    <row r="685" spans="1:7" ht="22.5" hidden="1" customHeight="1">
      <c r="A685" s="127"/>
      <c r="B685" s="32"/>
      <c r="C685" s="127"/>
      <c r="D685" s="32"/>
      <c r="E685" s="32"/>
      <c r="F685" s="32"/>
      <c r="G685" s="32"/>
    </row>
    <row r="686" spans="1:7" ht="22.5" hidden="1" customHeight="1">
      <c r="A686" s="127"/>
      <c r="B686" s="32"/>
      <c r="C686" s="127"/>
      <c r="D686" s="32"/>
      <c r="E686" s="32"/>
      <c r="F686" s="32"/>
      <c r="G686" s="32"/>
    </row>
    <row r="687" spans="1:7" ht="22.5" hidden="1" customHeight="1">
      <c r="A687" s="127"/>
      <c r="B687" s="32"/>
      <c r="C687" s="127"/>
      <c r="D687" s="32"/>
      <c r="E687" s="32"/>
      <c r="F687" s="32"/>
      <c r="G687" s="32"/>
    </row>
    <row r="688" spans="1:7" ht="22.5" hidden="1" customHeight="1">
      <c r="A688" s="127"/>
      <c r="B688" s="32"/>
      <c r="C688" s="127"/>
      <c r="D688" s="32"/>
      <c r="E688" s="32"/>
      <c r="F688" s="32"/>
      <c r="G688" s="32"/>
    </row>
    <row r="689" spans="1:7" ht="22.5" hidden="1" customHeight="1">
      <c r="A689" s="127"/>
      <c r="B689" s="32"/>
      <c r="C689" s="127"/>
      <c r="D689" s="32"/>
      <c r="E689" s="32"/>
      <c r="F689" s="32"/>
      <c r="G689" s="32"/>
    </row>
    <row r="690" spans="1:7" ht="22.5" hidden="1" customHeight="1">
      <c r="A690" s="127"/>
      <c r="B690" s="32"/>
      <c r="C690" s="127"/>
      <c r="D690" s="32"/>
      <c r="E690" s="32"/>
      <c r="F690" s="32"/>
      <c r="G690" s="32"/>
    </row>
    <row r="691" spans="1:7" ht="22.5" hidden="1" customHeight="1">
      <c r="A691" s="127"/>
      <c r="B691" s="32"/>
      <c r="C691" s="127"/>
      <c r="D691" s="32"/>
      <c r="E691" s="32"/>
      <c r="F691" s="32"/>
      <c r="G691" s="32"/>
    </row>
    <row r="692" spans="1:7" ht="22.5" hidden="1" customHeight="1">
      <c r="A692" s="127"/>
      <c r="B692" s="32"/>
      <c r="C692" s="127"/>
      <c r="D692" s="32"/>
      <c r="E692" s="32"/>
      <c r="F692" s="32"/>
      <c r="G692" s="32"/>
    </row>
    <row r="693" spans="1:7" ht="22.5" hidden="1" customHeight="1">
      <c r="A693" s="127"/>
      <c r="B693" s="32"/>
      <c r="C693" s="127"/>
      <c r="D693" s="32"/>
      <c r="E693" s="32"/>
      <c r="F693" s="32"/>
      <c r="G693" s="32"/>
    </row>
    <row r="694" spans="1:7" ht="22.5" hidden="1" customHeight="1">
      <c r="A694" s="127"/>
      <c r="B694" s="32"/>
      <c r="C694" s="127"/>
      <c r="D694" s="32"/>
      <c r="E694" s="32"/>
      <c r="F694" s="32"/>
      <c r="G694" s="32"/>
    </row>
    <row r="695" spans="1:7" ht="22.5" hidden="1" customHeight="1">
      <c r="A695" s="127"/>
      <c r="B695" s="32"/>
      <c r="C695" s="127"/>
      <c r="D695" s="32"/>
      <c r="E695" s="32"/>
      <c r="F695" s="32"/>
      <c r="G695" s="32"/>
    </row>
    <row r="696" spans="1:7" ht="22.5" hidden="1" customHeight="1">
      <c r="A696" s="127"/>
      <c r="B696" s="32"/>
      <c r="C696" s="127"/>
      <c r="D696" s="32"/>
      <c r="E696" s="32"/>
      <c r="F696" s="32"/>
      <c r="G696" s="32"/>
    </row>
    <row r="697" spans="1:7" ht="22.5" hidden="1" customHeight="1">
      <c r="A697" s="127"/>
      <c r="B697" s="32"/>
      <c r="C697" s="127"/>
      <c r="D697" s="32"/>
      <c r="E697" s="32"/>
      <c r="F697" s="32"/>
      <c r="G697" s="32"/>
    </row>
    <row r="698" spans="1:7" ht="22.5" hidden="1" customHeight="1">
      <c r="A698" s="127"/>
      <c r="B698" s="32"/>
      <c r="C698" s="127"/>
      <c r="D698" s="32"/>
      <c r="E698" s="32"/>
      <c r="F698" s="32"/>
      <c r="G698" s="32"/>
    </row>
    <row r="699" spans="1:7" ht="22.5" hidden="1" customHeight="1">
      <c r="A699" s="127"/>
      <c r="B699" s="32"/>
      <c r="C699" s="127"/>
      <c r="D699" s="32"/>
      <c r="E699" s="32"/>
      <c r="F699" s="32"/>
      <c r="G699" s="32"/>
    </row>
    <row r="700" spans="1:7" ht="22.5" hidden="1" customHeight="1">
      <c r="A700" s="127"/>
      <c r="B700" s="32"/>
      <c r="C700" s="127"/>
      <c r="D700" s="32"/>
      <c r="E700" s="32"/>
      <c r="F700" s="32"/>
      <c r="G700" s="32"/>
    </row>
    <row r="701" spans="1:7" ht="22.5" hidden="1" customHeight="1">
      <c r="A701" s="127"/>
      <c r="B701" s="32"/>
      <c r="C701" s="127"/>
      <c r="D701" s="32"/>
      <c r="E701" s="32"/>
      <c r="F701" s="32"/>
      <c r="G701" s="32"/>
    </row>
    <row r="702" spans="1:7" ht="22.5" hidden="1" customHeight="1">
      <c r="A702" s="127"/>
      <c r="B702" s="32"/>
      <c r="C702" s="127"/>
      <c r="D702" s="32"/>
      <c r="E702" s="32"/>
      <c r="F702" s="32"/>
      <c r="G702" s="32"/>
    </row>
    <row r="703" spans="1:7" ht="22.5" hidden="1" customHeight="1">
      <c r="A703" s="127"/>
      <c r="B703" s="32"/>
      <c r="C703" s="127"/>
      <c r="D703" s="32"/>
      <c r="E703" s="32"/>
      <c r="F703" s="32"/>
      <c r="G703" s="32"/>
    </row>
    <row r="704" spans="1:7" ht="22.5" hidden="1" customHeight="1">
      <c r="A704" s="127"/>
      <c r="B704" s="32"/>
      <c r="C704" s="127"/>
      <c r="D704" s="32"/>
      <c r="E704" s="32"/>
      <c r="F704" s="32"/>
      <c r="G704" s="32"/>
    </row>
    <row r="705" spans="1:7" ht="22.5" hidden="1" customHeight="1">
      <c r="A705" s="127"/>
      <c r="B705" s="32"/>
      <c r="C705" s="127"/>
      <c r="D705" s="32"/>
      <c r="E705" s="32"/>
      <c r="F705" s="32"/>
      <c r="G705" s="32"/>
    </row>
    <row r="706" spans="1:7" ht="22.5" hidden="1" customHeight="1">
      <c r="A706" s="127"/>
      <c r="B706" s="32"/>
      <c r="C706" s="127"/>
      <c r="D706" s="32"/>
      <c r="E706" s="32"/>
      <c r="F706" s="32"/>
      <c r="G706" s="32"/>
    </row>
    <row r="707" spans="1:7" ht="22.5" hidden="1" customHeight="1">
      <c r="A707" s="127"/>
      <c r="B707" s="32"/>
      <c r="C707" s="127"/>
      <c r="D707" s="32"/>
      <c r="E707" s="32"/>
      <c r="F707" s="32"/>
      <c r="G707" s="32"/>
    </row>
    <row r="708" spans="1:7" ht="22.5" hidden="1" customHeight="1">
      <c r="A708" s="127"/>
      <c r="B708" s="32"/>
      <c r="C708" s="127"/>
      <c r="D708" s="32"/>
      <c r="E708" s="32"/>
      <c r="F708" s="32"/>
      <c r="G708" s="32"/>
    </row>
    <row r="709" spans="1:7" ht="22.5" hidden="1" customHeight="1">
      <c r="A709" s="127"/>
      <c r="B709" s="32"/>
      <c r="C709" s="127"/>
      <c r="D709" s="32"/>
      <c r="E709" s="32"/>
      <c r="F709" s="32"/>
      <c r="G709" s="32"/>
    </row>
    <row r="710" spans="1:7" ht="22.5" hidden="1" customHeight="1">
      <c r="A710" s="127"/>
      <c r="B710" s="32"/>
      <c r="C710" s="127"/>
      <c r="D710" s="32"/>
      <c r="E710" s="32"/>
      <c r="F710" s="32"/>
      <c r="G710" s="32"/>
    </row>
    <row r="711" spans="1:7" ht="22.5" hidden="1" customHeight="1">
      <c r="A711" s="127"/>
      <c r="B711" s="32"/>
      <c r="C711" s="127"/>
      <c r="D711" s="32"/>
      <c r="E711" s="32"/>
      <c r="F711" s="32"/>
      <c r="G711" s="32"/>
    </row>
    <row r="712" spans="1:7" ht="22.5" hidden="1" customHeight="1">
      <c r="A712" s="127"/>
      <c r="B712" s="32"/>
      <c r="C712" s="127"/>
      <c r="D712" s="32"/>
      <c r="E712" s="32"/>
      <c r="F712" s="32"/>
      <c r="G712" s="32"/>
    </row>
    <row r="713" spans="1:7" ht="22.5" hidden="1" customHeight="1">
      <c r="A713" s="127"/>
      <c r="B713" s="32"/>
      <c r="C713" s="127"/>
      <c r="D713" s="32"/>
      <c r="E713" s="32"/>
      <c r="F713" s="32"/>
      <c r="G713" s="32"/>
    </row>
    <row r="714" spans="1:7" ht="22.5" hidden="1" customHeight="1">
      <c r="A714" s="127"/>
      <c r="B714" s="32"/>
      <c r="C714" s="127"/>
      <c r="D714" s="32"/>
      <c r="E714" s="32"/>
      <c r="F714" s="32"/>
      <c r="G714" s="32"/>
    </row>
    <row r="715" spans="1:7" ht="22.5" hidden="1" customHeight="1">
      <c r="A715" s="127"/>
      <c r="B715" s="32"/>
      <c r="C715" s="127"/>
      <c r="D715" s="32"/>
      <c r="E715" s="32"/>
      <c r="F715" s="32"/>
      <c r="G715" s="32"/>
    </row>
    <row r="716" spans="1:7" ht="22.5" hidden="1" customHeight="1">
      <c r="A716" s="127"/>
      <c r="B716" s="32"/>
      <c r="C716" s="127"/>
      <c r="D716" s="32"/>
      <c r="E716" s="32"/>
      <c r="F716" s="32"/>
      <c r="G716" s="32"/>
    </row>
    <row r="717" spans="1:7" ht="22.5" hidden="1" customHeight="1">
      <c r="A717" s="127"/>
      <c r="B717" s="32"/>
      <c r="C717" s="127"/>
      <c r="D717" s="32"/>
      <c r="E717" s="32"/>
      <c r="F717" s="32"/>
      <c r="G717" s="32"/>
    </row>
    <row r="718" spans="1:7" ht="22.5" hidden="1" customHeight="1">
      <c r="A718" s="127"/>
      <c r="B718" s="32"/>
      <c r="C718" s="127"/>
      <c r="D718" s="32"/>
      <c r="E718" s="32"/>
      <c r="F718" s="32"/>
      <c r="G718" s="32"/>
    </row>
    <row r="719" spans="1:7" ht="22.5" hidden="1" customHeight="1">
      <c r="A719" s="127"/>
      <c r="B719" s="32"/>
      <c r="C719" s="127"/>
      <c r="D719" s="32"/>
      <c r="E719" s="32"/>
      <c r="F719" s="32"/>
      <c r="G719" s="32"/>
    </row>
    <row r="720" spans="1:7" ht="22.5" hidden="1" customHeight="1">
      <c r="A720" s="127"/>
      <c r="B720" s="32"/>
      <c r="C720" s="127"/>
      <c r="D720" s="32"/>
      <c r="E720" s="32"/>
      <c r="F720" s="32"/>
      <c r="G720" s="32"/>
    </row>
    <row r="721" spans="1:7" ht="22.5" hidden="1" customHeight="1">
      <c r="A721" s="127"/>
      <c r="B721" s="32"/>
      <c r="C721" s="127"/>
      <c r="D721" s="32"/>
      <c r="E721" s="32"/>
      <c r="F721" s="32"/>
      <c r="G721" s="32"/>
    </row>
    <row r="722" spans="1:7" ht="22.5" hidden="1" customHeight="1">
      <c r="A722" s="127"/>
      <c r="B722" s="32"/>
      <c r="C722" s="127"/>
      <c r="D722" s="32"/>
      <c r="E722" s="32"/>
      <c r="F722" s="32"/>
      <c r="G722" s="32"/>
    </row>
    <row r="723" spans="1:7" ht="22.5" hidden="1" customHeight="1">
      <c r="A723" s="127"/>
      <c r="B723" s="32"/>
      <c r="C723" s="127"/>
      <c r="D723" s="32"/>
      <c r="E723" s="32"/>
      <c r="F723" s="32"/>
      <c r="G723" s="32"/>
    </row>
    <row r="724" spans="1:7" ht="22.5" hidden="1" customHeight="1">
      <c r="A724" s="127"/>
      <c r="B724" s="32"/>
      <c r="C724" s="127"/>
      <c r="D724" s="32"/>
      <c r="E724" s="32"/>
      <c r="F724" s="32"/>
      <c r="G724" s="32"/>
    </row>
    <row r="725" spans="1:7" ht="22.5" hidden="1" customHeight="1">
      <c r="A725" s="127"/>
      <c r="B725" s="32"/>
      <c r="C725" s="127"/>
      <c r="D725" s="32"/>
      <c r="E725" s="32"/>
      <c r="F725" s="32"/>
      <c r="G725" s="32"/>
    </row>
    <row r="726" spans="1:7" ht="22.5" hidden="1" customHeight="1">
      <c r="A726" s="127"/>
      <c r="B726" s="32"/>
      <c r="C726" s="127"/>
      <c r="D726" s="32"/>
      <c r="E726" s="32"/>
      <c r="F726" s="32"/>
      <c r="G726" s="32"/>
    </row>
    <row r="727" spans="1:7" ht="22.5" hidden="1" customHeight="1">
      <c r="A727" s="127"/>
      <c r="B727" s="32"/>
      <c r="C727" s="127"/>
      <c r="D727" s="32"/>
      <c r="E727" s="32"/>
      <c r="F727" s="32"/>
      <c r="G727" s="32"/>
    </row>
    <row r="728" spans="1:7" ht="22.5" hidden="1" customHeight="1">
      <c r="A728" s="127"/>
      <c r="B728" s="32"/>
      <c r="C728" s="127"/>
      <c r="D728" s="32"/>
      <c r="E728" s="32"/>
      <c r="F728" s="32"/>
      <c r="G728" s="32"/>
    </row>
    <row r="729" spans="1:7" ht="22.5" hidden="1" customHeight="1">
      <c r="A729" s="127"/>
      <c r="B729" s="32"/>
      <c r="C729" s="127"/>
      <c r="D729" s="32"/>
      <c r="E729" s="32"/>
      <c r="F729" s="32"/>
      <c r="G729" s="32"/>
    </row>
    <row r="730" spans="1:7" ht="22.5" hidden="1" customHeight="1">
      <c r="A730" s="127"/>
      <c r="B730" s="32"/>
      <c r="C730" s="127"/>
      <c r="D730" s="32"/>
      <c r="E730" s="32"/>
      <c r="F730" s="32"/>
      <c r="G730" s="32"/>
    </row>
    <row r="731" spans="1:7" ht="22.5" hidden="1" customHeight="1">
      <c r="A731" s="127"/>
      <c r="B731" s="32"/>
      <c r="C731" s="127"/>
      <c r="D731" s="32"/>
      <c r="E731" s="32"/>
      <c r="F731" s="32"/>
      <c r="G731" s="32"/>
    </row>
    <row r="732" spans="1:7" ht="22.5" hidden="1" customHeight="1">
      <c r="A732" s="127"/>
      <c r="B732" s="32"/>
      <c r="C732" s="127"/>
      <c r="D732" s="32"/>
      <c r="E732" s="32"/>
      <c r="F732" s="32"/>
      <c r="G732" s="32"/>
    </row>
    <row r="733" spans="1:7" ht="22.5" hidden="1" customHeight="1">
      <c r="A733" s="127"/>
      <c r="B733" s="32"/>
      <c r="C733" s="127"/>
      <c r="D733" s="32"/>
      <c r="E733" s="32"/>
      <c r="F733" s="32"/>
      <c r="G733" s="32"/>
    </row>
    <row r="734" spans="1:7" ht="22.5" hidden="1" customHeight="1">
      <c r="A734" s="127"/>
      <c r="B734" s="32"/>
      <c r="C734" s="127"/>
      <c r="D734" s="32"/>
      <c r="E734" s="32"/>
      <c r="F734" s="32"/>
      <c r="G734" s="32"/>
    </row>
    <row r="735" spans="1:7" ht="22.5" hidden="1" customHeight="1">
      <c r="A735" s="127"/>
      <c r="B735" s="32"/>
      <c r="C735" s="127"/>
      <c r="D735" s="32"/>
      <c r="E735" s="32"/>
      <c r="F735" s="32"/>
      <c r="G735" s="32"/>
    </row>
    <row r="736" spans="1:7" ht="22.5" hidden="1" customHeight="1">
      <c r="A736" s="127"/>
      <c r="B736" s="32"/>
      <c r="C736" s="127"/>
      <c r="D736" s="32"/>
      <c r="E736" s="32"/>
      <c r="F736" s="32"/>
      <c r="G736" s="32"/>
    </row>
    <row r="737" spans="1:7" ht="22.5" hidden="1" customHeight="1">
      <c r="A737" s="127"/>
      <c r="B737" s="32"/>
      <c r="C737" s="127"/>
      <c r="D737" s="32"/>
      <c r="E737" s="32"/>
      <c r="F737" s="32"/>
      <c r="G737" s="32"/>
    </row>
    <row r="738" spans="1:7" ht="22.5" hidden="1" customHeight="1">
      <c r="A738" s="127"/>
      <c r="B738" s="32"/>
      <c r="C738" s="127"/>
      <c r="D738" s="32"/>
      <c r="E738" s="32"/>
      <c r="F738" s="32"/>
      <c r="G738" s="32"/>
    </row>
    <row r="739" spans="1:7" ht="22.5" hidden="1" customHeight="1">
      <c r="A739" s="127"/>
      <c r="B739" s="32"/>
      <c r="C739" s="127"/>
      <c r="D739" s="32"/>
      <c r="E739" s="32"/>
      <c r="F739" s="32"/>
      <c r="G739" s="32"/>
    </row>
    <row r="740" spans="1:7" ht="22.5" hidden="1" customHeight="1">
      <c r="A740" s="127"/>
      <c r="B740" s="32"/>
      <c r="C740" s="127"/>
      <c r="D740" s="32"/>
      <c r="E740" s="32"/>
      <c r="F740" s="32"/>
      <c r="G740" s="32"/>
    </row>
    <row r="741" spans="1:7" ht="22.5" hidden="1" customHeight="1">
      <c r="A741" s="127"/>
      <c r="B741" s="32"/>
      <c r="C741" s="127"/>
      <c r="D741" s="32"/>
      <c r="E741" s="32"/>
      <c r="F741" s="32"/>
      <c r="G741" s="32"/>
    </row>
    <row r="742" spans="1:7" ht="22.5" hidden="1" customHeight="1">
      <c r="A742" s="127"/>
      <c r="B742" s="32"/>
      <c r="C742" s="127"/>
      <c r="D742" s="32"/>
      <c r="E742" s="32"/>
      <c r="F742" s="32"/>
      <c r="G742" s="32"/>
    </row>
    <row r="743" spans="1:7" ht="22.5" hidden="1" customHeight="1">
      <c r="A743" s="127"/>
      <c r="B743" s="32"/>
      <c r="C743" s="127"/>
      <c r="D743" s="32"/>
      <c r="E743" s="32"/>
      <c r="F743" s="32"/>
      <c r="G743" s="32"/>
    </row>
    <row r="744" spans="1:7" ht="22.5" hidden="1" customHeight="1">
      <c r="A744" s="127"/>
      <c r="B744" s="32"/>
      <c r="C744" s="127"/>
      <c r="D744" s="32"/>
      <c r="E744" s="32"/>
      <c r="F744" s="32"/>
      <c r="G744" s="32"/>
    </row>
    <row r="745" spans="1:7" ht="22.5" hidden="1" customHeight="1">
      <c r="A745" s="127"/>
      <c r="B745" s="32"/>
      <c r="C745" s="127"/>
      <c r="D745" s="32"/>
      <c r="E745" s="32"/>
      <c r="F745" s="32"/>
      <c r="G745" s="32"/>
    </row>
    <row r="746" spans="1:7" ht="22.5" hidden="1" customHeight="1">
      <c r="A746" s="127"/>
      <c r="B746" s="32"/>
      <c r="C746" s="127"/>
      <c r="D746" s="32"/>
      <c r="E746" s="32"/>
      <c r="F746" s="32"/>
      <c r="G746" s="32"/>
    </row>
    <row r="747" spans="1:7" ht="22.5" hidden="1" customHeight="1">
      <c r="A747" s="127"/>
      <c r="B747" s="32"/>
      <c r="C747" s="127"/>
      <c r="D747" s="32"/>
      <c r="E747" s="32"/>
      <c r="F747" s="32"/>
      <c r="G747" s="32"/>
    </row>
    <row r="748" spans="1:7" ht="22.5" hidden="1" customHeight="1">
      <c r="A748" s="127"/>
      <c r="B748" s="32"/>
      <c r="C748" s="127"/>
      <c r="D748" s="32"/>
      <c r="E748" s="32"/>
      <c r="F748" s="32"/>
      <c r="G748" s="32"/>
    </row>
    <row r="749" spans="1:7" ht="22.5" hidden="1" customHeight="1">
      <c r="A749" s="127"/>
      <c r="B749" s="32"/>
      <c r="C749" s="127"/>
      <c r="D749" s="32"/>
      <c r="E749" s="32"/>
      <c r="F749" s="32"/>
      <c r="G749" s="32"/>
    </row>
    <row r="750" spans="1:7" ht="22.5" hidden="1" customHeight="1">
      <c r="A750" s="127"/>
      <c r="B750" s="32"/>
      <c r="C750" s="127"/>
      <c r="D750" s="32"/>
      <c r="E750" s="32"/>
      <c r="F750" s="32"/>
      <c r="G750" s="32"/>
    </row>
    <row r="751" spans="1:7" ht="22.5" hidden="1" customHeight="1">
      <c r="A751" s="127"/>
      <c r="B751" s="32"/>
      <c r="C751" s="127"/>
      <c r="D751" s="32"/>
      <c r="E751" s="32"/>
      <c r="F751" s="32"/>
      <c r="G751" s="32"/>
    </row>
    <row r="752" spans="1:7" ht="22.5" hidden="1" customHeight="1">
      <c r="A752" s="127"/>
      <c r="B752" s="32"/>
      <c r="C752" s="127"/>
      <c r="D752" s="32"/>
      <c r="E752" s="32"/>
      <c r="F752" s="32"/>
      <c r="G752" s="32"/>
    </row>
    <row r="753" spans="1:7" ht="22.5" hidden="1" customHeight="1">
      <c r="A753" s="127"/>
      <c r="B753" s="32"/>
      <c r="C753" s="127"/>
      <c r="D753" s="32"/>
      <c r="E753" s="32"/>
      <c r="F753" s="32"/>
      <c r="G753" s="32"/>
    </row>
    <row r="754" spans="1:7" ht="22.5" hidden="1" customHeight="1">
      <c r="A754" s="127"/>
      <c r="B754" s="32"/>
      <c r="C754" s="127"/>
      <c r="D754" s="32"/>
      <c r="E754" s="32"/>
      <c r="F754" s="32"/>
      <c r="G754" s="32"/>
    </row>
    <row r="755" spans="1:7" ht="22.5" hidden="1" customHeight="1">
      <c r="A755" s="127"/>
      <c r="B755" s="32"/>
      <c r="C755" s="127"/>
      <c r="D755" s="32"/>
      <c r="E755" s="32"/>
      <c r="F755" s="32"/>
      <c r="G755" s="32"/>
    </row>
    <row r="756" spans="1:7" ht="22.5" hidden="1" customHeight="1">
      <c r="A756" s="127"/>
      <c r="B756" s="32"/>
      <c r="C756" s="127"/>
      <c r="D756" s="32"/>
      <c r="E756" s="32"/>
      <c r="F756" s="32"/>
      <c r="G756" s="32"/>
    </row>
    <row r="757" spans="1:7" ht="22.5" hidden="1" customHeight="1">
      <c r="A757" s="127"/>
      <c r="B757" s="32"/>
      <c r="C757" s="127"/>
      <c r="D757" s="32"/>
      <c r="E757" s="32"/>
      <c r="F757" s="32"/>
      <c r="G757" s="32"/>
    </row>
    <row r="758" spans="1:7" ht="22.5" hidden="1" customHeight="1">
      <c r="A758" s="127"/>
      <c r="B758" s="32"/>
      <c r="C758" s="127"/>
      <c r="D758" s="32"/>
      <c r="E758" s="32"/>
      <c r="F758" s="32"/>
      <c r="G758" s="32"/>
    </row>
    <row r="759" spans="1:7" ht="22.5" hidden="1" customHeight="1">
      <c r="A759" s="127"/>
      <c r="B759" s="32"/>
      <c r="C759" s="127"/>
      <c r="D759" s="32"/>
      <c r="E759" s="32"/>
      <c r="F759" s="32"/>
      <c r="G759" s="32"/>
    </row>
    <row r="760" spans="1:7" ht="22.5" hidden="1" customHeight="1">
      <c r="A760" s="127"/>
      <c r="B760" s="32"/>
      <c r="C760" s="127"/>
      <c r="D760" s="32"/>
      <c r="E760" s="32"/>
      <c r="F760" s="32"/>
      <c r="G760" s="32"/>
    </row>
    <row r="761" spans="1:7" ht="22.5" hidden="1" customHeight="1">
      <c r="A761" s="127"/>
      <c r="B761" s="32"/>
      <c r="C761" s="127"/>
      <c r="D761" s="32"/>
      <c r="E761" s="32"/>
      <c r="F761" s="32"/>
      <c r="G761" s="32"/>
    </row>
    <row r="762" spans="1:7" ht="22.5" hidden="1" customHeight="1">
      <c r="A762" s="127"/>
      <c r="B762" s="32"/>
      <c r="C762" s="127"/>
      <c r="D762" s="32"/>
      <c r="E762" s="32"/>
      <c r="F762" s="32"/>
      <c r="G762" s="32"/>
    </row>
    <row r="763" spans="1:7" ht="22.5" hidden="1" customHeight="1">
      <c r="A763" s="127"/>
      <c r="B763" s="32"/>
      <c r="C763" s="127"/>
      <c r="D763" s="32"/>
      <c r="E763" s="32"/>
      <c r="F763" s="32"/>
      <c r="G763" s="32"/>
    </row>
    <row r="764" spans="1:7" ht="22.5" hidden="1" customHeight="1">
      <c r="A764" s="127"/>
      <c r="B764" s="32"/>
      <c r="C764" s="127"/>
      <c r="D764" s="32"/>
      <c r="E764" s="32"/>
      <c r="F764" s="32"/>
      <c r="G764" s="32"/>
    </row>
    <row r="765" spans="1:7" ht="22.5" hidden="1" customHeight="1">
      <c r="A765" s="127"/>
      <c r="B765" s="32"/>
      <c r="C765" s="127"/>
      <c r="D765" s="32"/>
      <c r="E765" s="32"/>
      <c r="F765" s="32"/>
      <c r="G765" s="32"/>
    </row>
    <row r="766" spans="1:7" ht="22.5" hidden="1" customHeight="1">
      <c r="A766" s="127"/>
      <c r="B766" s="32"/>
      <c r="C766" s="127"/>
      <c r="D766" s="32"/>
      <c r="E766" s="32"/>
      <c r="F766" s="32"/>
      <c r="G766" s="32"/>
    </row>
    <row r="767" spans="1:7" ht="22.5" hidden="1" customHeight="1">
      <c r="A767" s="127"/>
      <c r="B767" s="32"/>
      <c r="C767" s="127"/>
      <c r="D767" s="32"/>
      <c r="E767" s="32"/>
      <c r="F767" s="32"/>
      <c r="G767" s="32"/>
    </row>
    <row r="768" spans="1:7" ht="22.5" hidden="1" customHeight="1">
      <c r="A768" s="127"/>
      <c r="B768" s="32"/>
      <c r="C768" s="127"/>
      <c r="D768" s="32"/>
      <c r="E768" s="32"/>
      <c r="F768" s="32"/>
      <c r="G768" s="32"/>
    </row>
    <row r="769" spans="1:7" ht="22.5" hidden="1" customHeight="1">
      <c r="A769" s="127"/>
      <c r="B769" s="32"/>
      <c r="C769" s="127"/>
      <c r="D769" s="32"/>
      <c r="E769" s="32"/>
      <c r="F769" s="32"/>
      <c r="G769" s="32"/>
    </row>
    <row r="770" spans="1:7" ht="22.5" hidden="1" customHeight="1">
      <c r="A770" s="127"/>
      <c r="B770" s="32"/>
      <c r="C770" s="127"/>
      <c r="D770" s="32"/>
      <c r="E770" s="32"/>
      <c r="F770" s="32"/>
      <c r="G770" s="32"/>
    </row>
    <row r="771" spans="1:7" ht="22.5" hidden="1" customHeight="1">
      <c r="A771" s="127"/>
      <c r="B771" s="32"/>
      <c r="C771" s="127"/>
      <c r="D771" s="32"/>
      <c r="E771" s="32"/>
      <c r="F771" s="32"/>
      <c r="G771" s="32"/>
    </row>
    <row r="772" spans="1:7" ht="22.5" hidden="1" customHeight="1">
      <c r="A772" s="127"/>
      <c r="B772" s="32"/>
      <c r="C772" s="127"/>
      <c r="D772" s="32"/>
      <c r="E772" s="32"/>
      <c r="F772" s="32"/>
      <c r="G772" s="32"/>
    </row>
    <row r="773" spans="1:7" ht="22.5" hidden="1" customHeight="1">
      <c r="A773" s="127"/>
      <c r="B773" s="32"/>
      <c r="C773" s="127"/>
      <c r="D773" s="32"/>
      <c r="E773" s="32"/>
      <c r="F773" s="32"/>
      <c r="G773" s="32"/>
    </row>
    <row r="774" spans="1:7" ht="22.5" hidden="1" customHeight="1">
      <c r="A774" s="127"/>
      <c r="B774" s="32"/>
      <c r="C774" s="127"/>
      <c r="D774" s="32"/>
      <c r="E774" s="32"/>
      <c r="F774" s="32"/>
      <c r="G774" s="32"/>
    </row>
    <row r="775" spans="1:7" ht="22.5" hidden="1" customHeight="1">
      <c r="A775" s="127"/>
      <c r="B775" s="32"/>
      <c r="C775" s="127"/>
      <c r="D775" s="32"/>
      <c r="E775" s="32"/>
      <c r="F775" s="32"/>
      <c r="G775" s="32"/>
    </row>
    <row r="776" spans="1:7" ht="22.5" hidden="1" customHeight="1">
      <c r="A776" s="127"/>
      <c r="B776" s="32"/>
      <c r="C776" s="127"/>
      <c r="D776" s="32"/>
      <c r="E776" s="32"/>
      <c r="F776" s="32"/>
      <c r="G776" s="32"/>
    </row>
    <row r="777" spans="1:7" ht="22.5" hidden="1" customHeight="1">
      <c r="A777" s="127"/>
      <c r="B777" s="32"/>
      <c r="C777" s="127"/>
      <c r="D777" s="32"/>
      <c r="E777" s="32"/>
      <c r="F777" s="32"/>
      <c r="G777" s="32"/>
    </row>
    <row r="778" spans="1:7" ht="22.5" hidden="1" customHeight="1">
      <c r="A778" s="127"/>
      <c r="B778" s="32"/>
      <c r="C778" s="127"/>
      <c r="D778" s="32"/>
      <c r="E778" s="32"/>
      <c r="F778" s="32"/>
      <c r="G778" s="32"/>
    </row>
    <row r="779" spans="1:7" ht="22.5" hidden="1" customHeight="1">
      <c r="A779" s="127"/>
      <c r="B779" s="32"/>
      <c r="C779" s="127"/>
      <c r="D779" s="32"/>
      <c r="E779" s="32"/>
      <c r="F779" s="32"/>
      <c r="G779" s="32"/>
    </row>
    <row r="780" spans="1:7" ht="22.5" hidden="1" customHeight="1">
      <c r="A780" s="127"/>
      <c r="B780" s="32"/>
      <c r="C780" s="127"/>
      <c r="D780" s="32"/>
      <c r="E780" s="32"/>
      <c r="F780" s="32"/>
      <c r="G780" s="32"/>
    </row>
    <row r="781" spans="1:7" ht="22.5" hidden="1" customHeight="1">
      <c r="A781" s="127"/>
      <c r="B781" s="32"/>
      <c r="C781" s="127"/>
      <c r="D781" s="32"/>
      <c r="E781" s="32"/>
      <c r="F781" s="32"/>
      <c r="G781" s="32"/>
    </row>
    <row r="782" spans="1:7" ht="22.5" hidden="1" customHeight="1">
      <c r="A782" s="127"/>
      <c r="B782" s="32"/>
      <c r="C782" s="127"/>
      <c r="D782" s="32"/>
      <c r="E782" s="32"/>
      <c r="F782" s="32"/>
      <c r="G782" s="32"/>
    </row>
    <row r="783" spans="1:7" ht="22.5" hidden="1" customHeight="1">
      <c r="A783" s="127"/>
      <c r="B783" s="32"/>
      <c r="C783" s="127"/>
      <c r="D783" s="32"/>
      <c r="E783" s="32"/>
      <c r="F783" s="32"/>
      <c r="G783" s="32"/>
    </row>
    <row r="784" spans="1:7" ht="22.5" hidden="1" customHeight="1">
      <c r="A784" s="127"/>
      <c r="B784" s="32"/>
      <c r="C784" s="127"/>
      <c r="D784" s="32"/>
      <c r="E784" s="32"/>
      <c r="F784" s="32"/>
      <c r="G784" s="32"/>
    </row>
    <row r="785" spans="1:7" ht="22.5" hidden="1" customHeight="1">
      <c r="A785" s="127"/>
      <c r="B785" s="32"/>
      <c r="C785" s="127"/>
      <c r="D785" s="32"/>
      <c r="E785" s="32"/>
      <c r="F785" s="32"/>
      <c r="G785" s="32"/>
    </row>
    <row r="786" spans="1:7" ht="22.5" hidden="1" customHeight="1">
      <c r="A786" s="127"/>
      <c r="B786" s="32"/>
      <c r="C786" s="127"/>
      <c r="D786" s="32"/>
      <c r="E786" s="32"/>
      <c r="F786" s="32"/>
      <c r="G786" s="32"/>
    </row>
    <row r="787" spans="1:7" ht="22.5" hidden="1" customHeight="1">
      <c r="A787" s="127"/>
      <c r="B787" s="32"/>
      <c r="C787" s="127"/>
      <c r="D787" s="32"/>
      <c r="E787" s="32"/>
      <c r="F787" s="32"/>
      <c r="G787" s="32"/>
    </row>
    <row r="788" spans="1:7" ht="22.5" hidden="1" customHeight="1">
      <c r="A788" s="127"/>
      <c r="B788" s="32"/>
      <c r="C788" s="127"/>
      <c r="D788" s="32"/>
      <c r="E788" s="32"/>
      <c r="F788" s="32"/>
      <c r="G788" s="32"/>
    </row>
    <row r="789" spans="1:7" ht="22.5" hidden="1" customHeight="1">
      <c r="A789" s="127"/>
      <c r="B789" s="32"/>
      <c r="C789" s="127"/>
      <c r="D789" s="32"/>
      <c r="E789" s="32"/>
      <c r="F789" s="32"/>
      <c r="G789" s="32"/>
    </row>
    <row r="790" spans="1:7" ht="22.5" hidden="1" customHeight="1">
      <c r="A790" s="127"/>
      <c r="B790" s="32"/>
      <c r="C790" s="127"/>
      <c r="D790" s="32"/>
      <c r="E790" s="32"/>
      <c r="F790" s="32"/>
      <c r="G790" s="32"/>
    </row>
    <row r="791" spans="1:7" ht="22.5" hidden="1" customHeight="1">
      <c r="A791" s="127"/>
      <c r="B791" s="32"/>
      <c r="C791" s="127"/>
      <c r="D791" s="32"/>
      <c r="E791" s="32"/>
      <c r="F791" s="32"/>
      <c r="G791" s="32"/>
    </row>
    <row r="792" spans="1:7" ht="22.5" hidden="1" customHeight="1">
      <c r="A792" s="127"/>
      <c r="B792" s="32"/>
      <c r="C792" s="127"/>
      <c r="D792" s="32"/>
      <c r="E792" s="32"/>
      <c r="F792" s="32"/>
      <c r="G792" s="32"/>
    </row>
    <row r="793" spans="1:7" ht="22.5" hidden="1" customHeight="1">
      <c r="A793" s="127"/>
      <c r="B793" s="32"/>
      <c r="C793" s="127"/>
      <c r="D793" s="32"/>
      <c r="E793" s="32"/>
      <c r="F793" s="32"/>
      <c r="G793" s="32"/>
    </row>
    <row r="794" spans="1:7" ht="22.5" hidden="1" customHeight="1">
      <c r="A794" s="127"/>
      <c r="B794" s="32"/>
      <c r="C794" s="127"/>
      <c r="D794" s="32"/>
      <c r="E794" s="32"/>
      <c r="F794" s="32"/>
      <c r="G794" s="32"/>
    </row>
    <row r="795" spans="1:7" ht="22.5" hidden="1" customHeight="1">
      <c r="A795" s="127"/>
      <c r="B795" s="32"/>
      <c r="C795" s="127"/>
      <c r="D795" s="32"/>
      <c r="E795" s="32"/>
      <c r="F795" s="32"/>
      <c r="G795" s="32"/>
    </row>
    <row r="796" spans="1:7" ht="22.5" hidden="1" customHeight="1">
      <c r="A796" s="127"/>
      <c r="B796" s="32"/>
      <c r="C796" s="127"/>
      <c r="D796" s="32"/>
      <c r="E796" s="32"/>
      <c r="F796" s="32"/>
      <c r="G796" s="32"/>
    </row>
    <row r="797" spans="1:7" ht="22.5" hidden="1" customHeight="1">
      <c r="A797" s="127"/>
      <c r="B797" s="32"/>
      <c r="C797" s="127"/>
      <c r="D797" s="32"/>
      <c r="E797" s="32"/>
      <c r="F797" s="32"/>
      <c r="G797" s="32"/>
    </row>
    <row r="798" spans="1:7" ht="22.5" hidden="1" customHeight="1">
      <c r="A798" s="127"/>
      <c r="B798" s="32"/>
      <c r="C798" s="127"/>
      <c r="D798" s="32"/>
      <c r="E798" s="32"/>
      <c r="F798" s="32"/>
      <c r="G798" s="32"/>
    </row>
    <row r="799" spans="1:7" ht="22.5" hidden="1" customHeight="1">
      <c r="A799" s="127"/>
      <c r="B799" s="32"/>
      <c r="C799" s="127"/>
      <c r="D799" s="32"/>
      <c r="E799" s="32"/>
      <c r="F799" s="32"/>
      <c r="G799" s="32"/>
    </row>
    <row r="800" spans="1:7" ht="22.5" hidden="1" customHeight="1">
      <c r="A800" s="127"/>
      <c r="B800" s="32"/>
      <c r="C800" s="127"/>
      <c r="D800" s="32"/>
      <c r="E800" s="32"/>
      <c r="F800" s="32"/>
      <c r="G800" s="32"/>
    </row>
    <row r="801" spans="1:7" ht="22.5" hidden="1" customHeight="1">
      <c r="A801" s="127"/>
      <c r="B801" s="32"/>
      <c r="C801" s="127"/>
      <c r="D801" s="32"/>
      <c r="E801" s="32"/>
      <c r="F801" s="32"/>
      <c r="G801" s="32"/>
    </row>
    <row r="802" spans="1:7" ht="22.5" hidden="1" customHeight="1">
      <c r="A802" s="127"/>
      <c r="B802" s="32"/>
      <c r="C802" s="127"/>
      <c r="D802" s="32"/>
      <c r="E802" s="32"/>
      <c r="F802" s="32"/>
      <c r="G802" s="32"/>
    </row>
    <row r="803" spans="1:7" ht="22.5" hidden="1" customHeight="1">
      <c r="A803" s="127"/>
      <c r="B803" s="32"/>
      <c r="C803" s="127"/>
      <c r="D803" s="32"/>
      <c r="E803" s="32"/>
      <c r="F803" s="32"/>
      <c r="G803" s="32"/>
    </row>
    <row r="804" spans="1:7" ht="22.5" hidden="1" customHeight="1">
      <c r="A804" s="127"/>
      <c r="B804" s="32"/>
      <c r="C804" s="127"/>
      <c r="D804" s="32"/>
      <c r="E804" s="32"/>
      <c r="F804" s="32"/>
      <c r="G804" s="32"/>
    </row>
    <row r="805" spans="1:7" ht="22.5" hidden="1" customHeight="1">
      <c r="A805" s="127"/>
      <c r="B805" s="32"/>
      <c r="C805" s="127"/>
      <c r="D805" s="32"/>
      <c r="E805" s="32"/>
      <c r="F805" s="32"/>
      <c r="G805" s="32"/>
    </row>
    <row r="806" spans="1:7" ht="22.5" hidden="1" customHeight="1">
      <c r="A806" s="127"/>
      <c r="B806" s="32"/>
      <c r="C806" s="127"/>
      <c r="D806" s="32"/>
      <c r="E806" s="32"/>
      <c r="F806" s="32"/>
      <c r="G806" s="32"/>
    </row>
    <row r="807" spans="1:7" ht="22.5" hidden="1" customHeight="1">
      <c r="A807" s="127"/>
      <c r="B807" s="32"/>
      <c r="C807" s="127"/>
      <c r="D807" s="32"/>
      <c r="E807" s="32"/>
      <c r="F807" s="32"/>
      <c r="G807" s="32"/>
    </row>
    <row r="808" spans="1:7" ht="22.5" hidden="1" customHeight="1">
      <c r="A808" s="127"/>
      <c r="B808" s="32"/>
      <c r="C808" s="127"/>
      <c r="D808" s="32"/>
      <c r="E808" s="32"/>
      <c r="F808" s="32"/>
      <c r="G808" s="32"/>
    </row>
    <row r="809" spans="1:7" ht="22.5" hidden="1" customHeight="1">
      <c r="A809" s="127"/>
      <c r="B809" s="32"/>
      <c r="C809" s="127"/>
      <c r="D809" s="32"/>
      <c r="E809" s="32"/>
      <c r="F809" s="32"/>
      <c r="G809" s="32"/>
    </row>
    <row r="810" spans="1:7" ht="22.5" hidden="1" customHeight="1">
      <c r="A810" s="127"/>
      <c r="B810" s="32"/>
      <c r="C810" s="127"/>
      <c r="D810" s="32"/>
      <c r="E810" s="32"/>
      <c r="F810" s="32"/>
      <c r="G810" s="32"/>
    </row>
    <row r="811" spans="1:7" ht="22.5" hidden="1" customHeight="1">
      <c r="A811" s="127"/>
      <c r="B811" s="32"/>
      <c r="C811" s="127"/>
      <c r="D811" s="32"/>
      <c r="E811" s="32"/>
      <c r="F811" s="32"/>
      <c r="G811" s="32"/>
    </row>
    <row r="812" spans="1:7" ht="22.5" hidden="1" customHeight="1">
      <c r="A812" s="127"/>
      <c r="B812" s="32"/>
      <c r="C812" s="127"/>
      <c r="D812" s="32"/>
      <c r="E812" s="32"/>
      <c r="F812" s="32"/>
      <c r="G812" s="32"/>
    </row>
    <row r="813" spans="1:7" ht="22.5" hidden="1" customHeight="1">
      <c r="A813" s="127"/>
      <c r="B813" s="32"/>
      <c r="C813" s="127"/>
      <c r="D813" s="32"/>
      <c r="E813" s="32"/>
      <c r="F813" s="32"/>
      <c r="G813" s="32"/>
    </row>
    <row r="814" spans="1:7" ht="22.5" hidden="1" customHeight="1">
      <c r="A814" s="127"/>
      <c r="B814" s="32"/>
      <c r="C814" s="127"/>
      <c r="D814" s="32"/>
      <c r="E814" s="32"/>
      <c r="F814" s="32"/>
      <c r="G814" s="32"/>
    </row>
    <row r="815" spans="1:7" ht="22.5" hidden="1" customHeight="1">
      <c r="A815" s="127"/>
      <c r="B815" s="32"/>
      <c r="C815" s="127"/>
      <c r="D815" s="32"/>
      <c r="E815" s="32"/>
      <c r="F815" s="32"/>
      <c r="G815" s="32"/>
    </row>
    <row r="816" spans="1:7" ht="22.5" hidden="1" customHeight="1">
      <c r="A816" s="127"/>
      <c r="B816" s="32"/>
      <c r="C816" s="127"/>
      <c r="D816" s="32"/>
      <c r="E816" s="32"/>
      <c r="F816" s="32"/>
      <c r="G816" s="32"/>
    </row>
    <row r="817" spans="1:7" ht="22.5" hidden="1" customHeight="1">
      <c r="A817" s="127"/>
      <c r="B817" s="32"/>
      <c r="C817" s="127"/>
      <c r="D817" s="32"/>
      <c r="E817" s="32"/>
      <c r="F817" s="32"/>
      <c r="G817" s="32"/>
    </row>
    <row r="818" spans="1:7" ht="22.5" hidden="1" customHeight="1">
      <c r="A818" s="127"/>
      <c r="B818" s="32"/>
      <c r="C818" s="127"/>
      <c r="D818" s="32"/>
      <c r="E818" s="32"/>
      <c r="F818" s="32"/>
      <c r="G818" s="32"/>
    </row>
    <row r="819" spans="1:7" ht="22.5" hidden="1" customHeight="1">
      <c r="A819" s="127"/>
      <c r="B819" s="32"/>
      <c r="C819" s="127"/>
      <c r="D819" s="32"/>
      <c r="E819" s="32"/>
      <c r="F819" s="32"/>
      <c r="G819" s="32"/>
    </row>
    <row r="820" spans="1:7" ht="22.5" hidden="1" customHeight="1">
      <c r="A820" s="127"/>
      <c r="B820" s="32"/>
      <c r="C820" s="127"/>
      <c r="D820" s="32"/>
      <c r="E820" s="32"/>
      <c r="F820" s="32"/>
      <c r="G820" s="32"/>
    </row>
    <row r="821" spans="1:7" ht="22.5" hidden="1" customHeight="1">
      <c r="A821" s="127"/>
      <c r="B821" s="32"/>
      <c r="C821" s="127"/>
      <c r="D821" s="32"/>
      <c r="E821" s="32"/>
      <c r="F821" s="32"/>
      <c r="G821" s="32"/>
    </row>
    <row r="822" spans="1:7" ht="22.5" hidden="1" customHeight="1">
      <c r="A822" s="127"/>
      <c r="B822" s="32"/>
      <c r="C822" s="127"/>
      <c r="D822" s="32"/>
      <c r="E822" s="32"/>
      <c r="F822" s="32"/>
      <c r="G822" s="32"/>
    </row>
    <row r="823" spans="1:7" ht="22.5" hidden="1" customHeight="1">
      <c r="A823" s="127"/>
      <c r="B823" s="32"/>
      <c r="C823" s="127"/>
      <c r="D823" s="32"/>
      <c r="E823" s="32"/>
      <c r="F823" s="32"/>
      <c r="G823" s="32"/>
    </row>
    <row r="824" spans="1:7" ht="22.5" hidden="1" customHeight="1">
      <c r="A824" s="127"/>
      <c r="B824" s="32"/>
      <c r="C824" s="127"/>
      <c r="D824" s="32"/>
      <c r="E824" s="32"/>
      <c r="F824" s="32"/>
      <c r="G824" s="32"/>
    </row>
    <row r="825" spans="1:7" ht="22.5" hidden="1" customHeight="1">
      <c r="A825" s="127"/>
      <c r="B825" s="32"/>
      <c r="C825" s="127"/>
      <c r="D825" s="32"/>
      <c r="E825" s="32"/>
      <c r="F825" s="32"/>
      <c r="G825" s="32"/>
    </row>
    <row r="826" spans="1:7" ht="22.5" hidden="1" customHeight="1">
      <c r="A826" s="127"/>
      <c r="B826" s="32"/>
      <c r="C826" s="127"/>
      <c r="D826" s="32"/>
      <c r="E826" s="32"/>
      <c r="F826" s="32"/>
      <c r="G826" s="32"/>
    </row>
    <row r="827" spans="1:7" ht="22.5" hidden="1" customHeight="1">
      <c r="A827" s="127"/>
      <c r="B827" s="32"/>
      <c r="C827" s="127"/>
      <c r="D827" s="32"/>
      <c r="E827" s="32"/>
      <c r="F827" s="32"/>
      <c r="G827" s="32"/>
    </row>
    <row r="828" spans="1:7" ht="22.5" hidden="1" customHeight="1">
      <c r="A828" s="127"/>
      <c r="B828" s="32"/>
      <c r="C828" s="127"/>
      <c r="D828" s="32"/>
      <c r="E828" s="32"/>
      <c r="F828" s="32"/>
      <c r="G828" s="32"/>
    </row>
    <row r="829" spans="1:7" ht="22.5" hidden="1" customHeight="1">
      <c r="A829" s="127"/>
      <c r="B829" s="32"/>
      <c r="C829" s="127"/>
      <c r="D829" s="32"/>
      <c r="E829" s="32"/>
      <c r="F829" s="32"/>
      <c r="G829" s="32"/>
    </row>
    <row r="830" spans="1:7" ht="22.5" hidden="1" customHeight="1">
      <c r="A830" s="127"/>
      <c r="B830" s="32"/>
      <c r="C830" s="127"/>
      <c r="D830" s="32"/>
      <c r="E830" s="32"/>
      <c r="F830" s="32"/>
      <c r="G830" s="32"/>
    </row>
    <row r="831" spans="1:7" ht="22.5" hidden="1" customHeight="1">
      <c r="A831" s="127"/>
      <c r="B831" s="32"/>
      <c r="C831" s="127"/>
      <c r="D831" s="32"/>
      <c r="E831" s="32"/>
      <c r="F831" s="32"/>
      <c r="G831" s="32"/>
    </row>
    <row r="832" spans="1:7" ht="22.5" hidden="1" customHeight="1">
      <c r="A832" s="127"/>
      <c r="B832" s="32"/>
      <c r="C832" s="127"/>
      <c r="D832" s="32"/>
      <c r="E832" s="32"/>
      <c r="F832" s="32"/>
      <c r="G832" s="32"/>
    </row>
    <row r="833" spans="1:7" ht="22.5" hidden="1" customHeight="1">
      <c r="A833" s="127"/>
      <c r="B833" s="32"/>
      <c r="C833" s="127"/>
      <c r="D833" s="32"/>
      <c r="E833" s="32"/>
      <c r="F833" s="32"/>
      <c r="G833" s="32"/>
    </row>
    <row r="834" spans="1:7" ht="22.5" hidden="1" customHeight="1">
      <c r="A834" s="127"/>
      <c r="B834" s="32"/>
      <c r="C834" s="127"/>
      <c r="D834" s="32"/>
      <c r="E834" s="32"/>
      <c r="F834" s="32"/>
      <c r="G834" s="32"/>
    </row>
    <row r="835" spans="1:7" ht="22.5" hidden="1" customHeight="1">
      <c r="A835" s="127"/>
      <c r="B835" s="32"/>
      <c r="C835" s="127"/>
      <c r="D835" s="32"/>
      <c r="E835" s="32"/>
      <c r="F835" s="32"/>
      <c r="G835" s="32"/>
    </row>
    <row r="836" spans="1:7" ht="22.5" hidden="1" customHeight="1">
      <c r="A836" s="127"/>
      <c r="B836" s="32"/>
      <c r="C836" s="127"/>
      <c r="D836" s="32"/>
      <c r="E836" s="32"/>
      <c r="F836" s="32"/>
      <c r="G836" s="32"/>
    </row>
    <row r="837" spans="1:7" ht="22.5" hidden="1" customHeight="1">
      <c r="A837" s="127"/>
      <c r="B837" s="32"/>
      <c r="C837" s="127"/>
      <c r="D837" s="32"/>
      <c r="E837" s="32"/>
      <c r="F837" s="32"/>
      <c r="G837" s="32"/>
    </row>
    <row r="838" spans="1:7" ht="22.5" hidden="1" customHeight="1">
      <c r="A838" s="127"/>
      <c r="B838" s="32"/>
      <c r="C838" s="127"/>
      <c r="D838" s="32"/>
      <c r="E838" s="32"/>
      <c r="F838" s="32"/>
      <c r="G838" s="32"/>
    </row>
    <row r="839" spans="1:7" ht="22.5" hidden="1" customHeight="1">
      <c r="A839" s="127"/>
      <c r="B839" s="32"/>
      <c r="C839" s="127"/>
      <c r="D839" s="32"/>
      <c r="E839" s="32"/>
      <c r="F839" s="32"/>
      <c r="G839" s="32"/>
    </row>
    <row r="840" spans="1:7" ht="22.5" hidden="1" customHeight="1">
      <c r="A840" s="127"/>
      <c r="B840" s="32"/>
      <c r="C840" s="127"/>
      <c r="D840" s="32"/>
      <c r="E840" s="32"/>
      <c r="F840" s="32"/>
      <c r="G840" s="32"/>
    </row>
    <row r="841" spans="1:7" ht="22.5" hidden="1" customHeight="1">
      <c r="A841" s="127"/>
      <c r="B841" s="32"/>
      <c r="C841" s="127"/>
      <c r="D841" s="32"/>
      <c r="E841" s="32"/>
      <c r="F841" s="32"/>
      <c r="G841" s="32"/>
    </row>
    <row r="842" spans="1:7" ht="22.5" hidden="1" customHeight="1">
      <c r="A842" s="127"/>
      <c r="B842" s="32"/>
      <c r="C842" s="127"/>
      <c r="D842" s="32"/>
      <c r="E842" s="32"/>
      <c r="F842" s="32"/>
      <c r="G842" s="32"/>
    </row>
    <row r="843" spans="1:7" ht="22.5" hidden="1" customHeight="1">
      <c r="A843" s="127"/>
      <c r="B843" s="32"/>
      <c r="C843" s="127"/>
      <c r="D843" s="32"/>
      <c r="E843" s="32"/>
      <c r="F843" s="32"/>
      <c r="G843" s="32"/>
    </row>
    <row r="844" spans="1:7" ht="22.5" hidden="1" customHeight="1">
      <c r="A844" s="127"/>
      <c r="B844" s="32"/>
      <c r="C844" s="127"/>
      <c r="D844" s="32"/>
      <c r="E844" s="32"/>
      <c r="F844" s="32"/>
      <c r="G844" s="32"/>
    </row>
    <row r="845" spans="1:7" ht="22.5" hidden="1" customHeight="1">
      <c r="A845" s="127"/>
      <c r="B845" s="32"/>
      <c r="C845" s="127"/>
      <c r="D845" s="32"/>
      <c r="E845" s="32"/>
      <c r="F845" s="32"/>
      <c r="G845" s="32"/>
    </row>
    <row r="846" spans="1:7" ht="22.5" hidden="1" customHeight="1">
      <c r="A846" s="127"/>
      <c r="B846" s="32"/>
      <c r="C846" s="127"/>
      <c r="D846" s="32"/>
      <c r="E846" s="32"/>
      <c r="F846" s="32"/>
      <c r="G846" s="32"/>
    </row>
    <row r="847" spans="1:7" ht="22.5" hidden="1" customHeight="1">
      <c r="A847" s="127"/>
      <c r="B847" s="32"/>
      <c r="C847" s="127"/>
      <c r="D847" s="32"/>
      <c r="E847" s="32"/>
      <c r="F847" s="32"/>
      <c r="G847" s="32"/>
    </row>
    <row r="848" spans="1:7" ht="22.5" hidden="1" customHeight="1">
      <c r="A848" s="127"/>
      <c r="B848" s="32"/>
      <c r="C848" s="127"/>
      <c r="D848" s="32"/>
      <c r="E848" s="32"/>
      <c r="F848" s="32"/>
      <c r="G848" s="32"/>
    </row>
    <row r="849" spans="1:7" ht="22.5" hidden="1" customHeight="1">
      <c r="A849" s="127"/>
      <c r="B849" s="32"/>
      <c r="C849" s="127"/>
      <c r="D849" s="32"/>
      <c r="E849" s="32"/>
      <c r="F849" s="32"/>
      <c r="G849" s="32"/>
    </row>
    <row r="850" spans="1:7" ht="22.5" hidden="1" customHeight="1">
      <c r="A850" s="127"/>
      <c r="B850" s="32"/>
      <c r="C850" s="127"/>
      <c r="D850" s="32"/>
      <c r="E850" s="32"/>
      <c r="F850" s="32"/>
      <c r="G850" s="32"/>
    </row>
    <row r="851" spans="1:7" ht="22.5" hidden="1" customHeight="1">
      <c r="A851" s="127"/>
      <c r="B851" s="32"/>
      <c r="C851" s="127"/>
      <c r="D851" s="32"/>
      <c r="E851" s="32"/>
      <c r="F851" s="32"/>
      <c r="G851" s="32"/>
    </row>
    <row r="852" spans="1:7" ht="22.5" hidden="1" customHeight="1">
      <c r="A852" s="127"/>
      <c r="B852" s="32"/>
      <c r="C852" s="127"/>
      <c r="D852" s="32"/>
      <c r="E852" s="32"/>
      <c r="F852" s="32"/>
      <c r="G852" s="32"/>
    </row>
    <row r="853" spans="1:7" ht="22.5" hidden="1" customHeight="1">
      <c r="A853" s="127"/>
      <c r="B853" s="32"/>
      <c r="C853" s="127"/>
      <c r="D853" s="32"/>
      <c r="E853" s="32"/>
      <c r="F853" s="32"/>
      <c r="G853" s="32"/>
    </row>
    <row r="854" spans="1:7" ht="22.5" hidden="1" customHeight="1">
      <c r="A854" s="127"/>
      <c r="B854" s="32"/>
      <c r="C854" s="127"/>
      <c r="D854" s="32"/>
      <c r="E854" s="32"/>
      <c r="F854" s="32"/>
      <c r="G854" s="32"/>
    </row>
    <row r="855" spans="1:7" ht="22.5" hidden="1" customHeight="1">
      <c r="A855" s="127"/>
      <c r="B855" s="32"/>
      <c r="C855" s="127"/>
      <c r="D855" s="32"/>
      <c r="E855" s="32"/>
      <c r="F855" s="32"/>
      <c r="G855" s="32"/>
    </row>
    <row r="856" spans="1:7" ht="22.5" hidden="1" customHeight="1">
      <c r="A856" s="127"/>
      <c r="B856" s="32"/>
      <c r="C856" s="127"/>
      <c r="D856" s="32"/>
      <c r="E856" s="32"/>
      <c r="F856" s="32"/>
      <c r="G856" s="32"/>
    </row>
    <row r="857" spans="1:7" ht="22.5" hidden="1" customHeight="1">
      <c r="A857" s="127"/>
      <c r="B857" s="32"/>
      <c r="C857" s="127"/>
      <c r="D857" s="32"/>
      <c r="E857" s="32"/>
      <c r="F857" s="32"/>
      <c r="G857" s="32"/>
    </row>
    <row r="858" spans="1:7" ht="22.5" hidden="1" customHeight="1">
      <c r="A858" s="127"/>
      <c r="B858" s="32"/>
      <c r="C858" s="127"/>
      <c r="D858" s="32"/>
      <c r="E858" s="32"/>
      <c r="F858" s="32"/>
      <c r="G858" s="32"/>
    </row>
    <row r="859" spans="1:7" ht="22.5" hidden="1" customHeight="1">
      <c r="A859" s="127"/>
      <c r="B859" s="32"/>
      <c r="C859" s="127"/>
      <c r="D859" s="32"/>
      <c r="E859" s="32"/>
      <c r="F859" s="32"/>
      <c r="G859" s="32"/>
    </row>
    <row r="860" spans="1:7" ht="22.5" hidden="1" customHeight="1">
      <c r="A860" s="127"/>
      <c r="B860" s="32"/>
      <c r="C860" s="127"/>
      <c r="D860" s="32"/>
      <c r="E860" s="32"/>
      <c r="F860" s="32"/>
      <c r="G860" s="32"/>
    </row>
    <row r="861" spans="1:7" ht="22.5" hidden="1" customHeight="1">
      <c r="A861" s="127"/>
      <c r="B861" s="32"/>
      <c r="C861" s="127"/>
      <c r="D861" s="32"/>
      <c r="E861" s="32"/>
      <c r="F861" s="32"/>
      <c r="G861" s="32"/>
    </row>
    <row r="862" spans="1:7" ht="22.5" hidden="1" customHeight="1">
      <c r="A862" s="127"/>
      <c r="B862" s="32"/>
      <c r="C862" s="127"/>
      <c r="D862" s="32"/>
      <c r="E862" s="32"/>
      <c r="F862" s="32"/>
      <c r="G862" s="32"/>
    </row>
    <row r="863" spans="1:7" ht="22.5" hidden="1" customHeight="1">
      <c r="A863" s="127"/>
      <c r="B863" s="32"/>
      <c r="C863" s="127"/>
      <c r="D863" s="32"/>
      <c r="E863" s="32"/>
      <c r="F863" s="32"/>
      <c r="G863" s="32"/>
    </row>
    <row r="864" spans="1:7" ht="22.5" hidden="1" customHeight="1">
      <c r="A864" s="127"/>
      <c r="B864" s="32"/>
      <c r="C864" s="127"/>
      <c r="D864" s="32"/>
      <c r="E864" s="32"/>
      <c r="F864" s="32"/>
      <c r="G864" s="32"/>
    </row>
    <row r="865" spans="1:7" ht="22.5" hidden="1" customHeight="1">
      <c r="A865" s="127"/>
      <c r="B865" s="32"/>
      <c r="C865" s="127"/>
      <c r="D865" s="32"/>
      <c r="E865" s="32"/>
      <c r="F865" s="32"/>
      <c r="G865" s="32"/>
    </row>
    <row r="866" spans="1:7" ht="22.5" hidden="1" customHeight="1">
      <c r="A866" s="127"/>
      <c r="B866" s="32"/>
      <c r="C866" s="127"/>
      <c r="D866" s="32"/>
      <c r="E866" s="32"/>
      <c r="F866" s="32"/>
      <c r="G866" s="32"/>
    </row>
    <row r="867" spans="1:7" ht="22.5" hidden="1" customHeight="1">
      <c r="A867" s="127"/>
      <c r="B867" s="32"/>
      <c r="C867" s="127"/>
      <c r="D867" s="32"/>
      <c r="E867" s="32"/>
      <c r="F867" s="32"/>
      <c r="G867" s="32"/>
    </row>
    <row r="868" spans="1:7" ht="22.5" hidden="1" customHeight="1">
      <c r="A868" s="127"/>
      <c r="B868" s="32"/>
      <c r="C868" s="127"/>
      <c r="D868" s="32"/>
      <c r="E868" s="32"/>
      <c r="F868" s="32"/>
      <c r="G868" s="32"/>
    </row>
    <row r="869" spans="1:7" ht="22.5" hidden="1" customHeight="1">
      <c r="A869" s="127"/>
      <c r="B869" s="32"/>
      <c r="C869" s="127"/>
      <c r="D869" s="32"/>
      <c r="E869" s="32"/>
      <c r="F869" s="32"/>
      <c r="G869" s="32"/>
    </row>
    <row r="870" spans="1:7" ht="22.5" hidden="1" customHeight="1">
      <c r="A870" s="127"/>
      <c r="B870" s="32"/>
      <c r="C870" s="127"/>
      <c r="D870" s="32"/>
      <c r="E870" s="32"/>
      <c r="F870" s="32"/>
      <c r="G870" s="32"/>
    </row>
    <row r="871" spans="1:7" ht="22.5" hidden="1" customHeight="1">
      <c r="A871" s="127"/>
      <c r="B871" s="32"/>
      <c r="C871" s="127"/>
      <c r="D871" s="32"/>
      <c r="E871" s="32"/>
      <c r="F871" s="32"/>
      <c r="G871" s="32"/>
    </row>
    <row r="872" spans="1:7" ht="22.5" hidden="1" customHeight="1">
      <c r="A872" s="127"/>
      <c r="B872" s="32"/>
      <c r="C872" s="127"/>
      <c r="D872" s="32"/>
      <c r="E872" s="32"/>
      <c r="F872" s="32"/>
      <c r="G872" s="32"/>
    </row>
    <row r="873" spans="1:7" ht="22.5" hidden="1" customHeight="1">
      <c r="A873" s="127"/>
      <c r="B873" s="32"/>
      <c r="C873" s="127"/>
      <c r="D873" s="32"/>
      <c r="E873" s="32"/>
      <c r="F873" s="32"/>
      <c r="G873" s="32"/>
    </row>
    <row r="874" spans="1:7" ht="22.5" hidden="1" customHeight="1">
      <c r="A874" s="127"/>
      <c r="B874" s="32"/>
      <c r="C874" s="127"/>
      <c r="D874" s="32"/>
      <c r="E874" s="32"/>
      <c r="F874" s="32"/>
      <c r="G874" s="32"/>
    </row>
    <row r="875" spans="1:7" ht="22.5" hidden="1" customHeight="1">
      <c r="A875" s="127"/>
      <c r="B875" s="32"/>
      <c r="C875" s="127"/>
      <c r="D875" s="32"/>
      <c r="E875" s="32"/>
      <c r="F875" s="32"/>
      <c r="G875" s="32"/>
    </row>
    <row r="876" spans="1:7" ht="22.5" hidden="1" customHeight="1">
      <c r="A876" s="127"/>
      <c r="B876" s="32"/>
      <c r="C876" s="127"/>
      <c r="D876" s="32"/>
      <c r="E876" s="32"/>
      <c r="F876" s="32"/>
      <c r="G876" s="32"/>
    </row>
    <row r="877" spans="1:7" ht="22.5" hidden="1" customHeight="1">
      <c r="A877" s="127"/>
      <c r="B877" s="32"/>
      <c r="C877" s="127"/>
      <c r="D877" s="32"/>
      <c r="E877" s="32"/>
      <c r="F877" s="32"/>
      <c r="G877" s="32"/>
    </row>
    <row r="878" spans="1:7" ht="22.5" hidden="1" customHeight="1">
      <c r="A878" s="127"/>
      <c r="B878" s="32"/>
      <c r="C878" s="127"/>
      <c r="D878" s="32"/>
      <c r="E878" s="32"/>
      <c r="F878" s="32"/>
      <c r="G878" s="32"/>
    </row>
    <row r="879" spans="1:7" ht="22.5" hidden="1" customHeight="1">
      <c r="A879" s="127"/>
      <c r="B879" s="32"/>
      <c r="C879" s="127"/>
      <c r="D879" s="32"/>
      <c r="E879" s="32"/>
      <c r="F879" s="32"/>
      <c r="G879" s="32"/>
    </row>
    <row r="880" spans="1:7" ht="22.5" hidden="1" customHeight="1">
      <c r="A880" s="127"/>
      <c r="B880" s="32"/>
      <c r="C880" s="127"/>
      <c r="D880" s="32"/>
      <c r="E880" s="32"/>
      <c r="F880" s="32"/>
      <c r="G880" s="32"/>
    </row>
    <row r="881" spans="1:7" ht="22.5" hidden="1" customHeight="1">
      <c r="A881" s="127"/>
      <c r="B881" s="32"/>
      <c r="C881" s="127"/>
      <c r="D881" s="32"/>
      <c r="E881" s="32"/>
      <c r="F881" s="32"/>
      <c r="G881" s="32"/>
    </row>
    <row r="882" spans="1:7" ht="22.5" hidden="1" customHeight="1">
      <c r="A882" s="127"/>
      <c r="B882" s="32"/>
      <c r="C882" s="127"/>
      <c r="D882" s="32"/>
      <c r="E882" s="32"/>
      <c r="F882" s="32"/>
      <c r="G882" s="32"/>
    </row>
    <row r="883" spans="1:7" ht="22.5" hidden="1" customHeight="1">
      <c r="A883" s="127"/>
      <c r="B883" s="32"/>
      <c r="C883" s="127"/>
      <c r="D883" s="32"/>
      <c r="E883" s="32"/>
      <c r="F883" s="32"/>
      <c r="G883" s="32"/>
    </row>
    <row r="884" spans="1:7" ht="22.5" hidden="1" customHeight="1">
      <c r="A884" s="127"/>
      <c r="B884" s="32"/>
      <c r="C884" s="127"/>
      <c r="D884" s="32"/>
      <c r="E884" s="32"/>
      <c r="F884" s="32"/>
      <c r="G884" s="32"/>
    </row>
    <row r="885" spans="1:7" ht="22.5" hidden="1" customHeight="1">
      <c r="A885" s="127"/>
      <c r="B885" s="32"/>
      <c r="C885" s="127"/>
      <c r="D885" s="32"/>
      <c r="E885" s="32"/>
      <c r="F885" s="32"/>
      <c r="G885" s="32"/>
    </row>
    <row r="886" spans="1:7" ht="22.5" hidden="1" customHeight="1">
      <c r="A886" s="127"/>
      <c r="B886" s="32"/>
      <c r="C886" s="127"/>
      <c r="D886" s="32"/>
      <c r="E886" s="32"/>
      <c r="F886" s="32"/>
      <c r="G886" s="32"/>
    </row>
    <row r="887" spans="1:7" ht="22.5" hidden="1" customHeight="1">
      <c r="A887" s="127"/>
      <c r="B887" s="32"/>
      <c r="C887" s="127"/>
      <c r="D887" s="32"/>
      <c r="E887" s="32"/>
      <c r="F887" s="32"/>
      <c r="G887" s="32"/>
    </row>
    <row r="888" spans="1:7" ht="22.5" hidden="1" customHeight="1">
      <c r="A888" s="127"/>
      <c r="B888" s="32"/>
      <c r="C888" s="127"/>
      <c r="D888" s="32"/>
      <c r="E888" s="32"/>
      <c r="F888" s="32"/>
      <c r="G888" s="32"/>
    </row>
    <row r="889" spans="1:7" ht="22.5" hidden="1" customHeight="1">
      <c r="A889" s="127"/>
      <c r="B889" s="32"/>
      <c r="C889" s="127"/>
      <c r="D889" s="32"/>
      <c r="E889" s="32"/>
      <c r="F889" s="32"/>
      <c r="G889" s="32"/>
    </row>
    <row r="890" spans="1:7" ht="22.5" hidden="1" customHeight="1">
      <c r="A890" s="127"/>
      <c r="B890" s="32"/>
      <c r="C890" s="127"/>
      <c r="D890" s="32"/>
      <c r="E890" s="32"/>
      <c r="F890" s="32"/>
      <c r="G890" s="32"/>
    </row>
    <row r="891" spans="1:7" ht="22.5" hidden="1" customHeight="1">
      <c r="A891" s="127"/>
      <c r="B891" s="32"/>
      <c r="C891" s="127"/>
      <c r="D891" s="32"/>
      <c r="E891" s="32"/>
      <c r="F891" s="32"/>
      <c r="G891" s="32"/>
    </row>
    <row r="892" spans="1:7" ht="22.5" hidden="1" customHeight="1">
      <c r="A892" s="127"/>
      <c r="B892" s="32"/>
      <c r="C892" s="127"/>
      <c r="D892" s="32"/>
      <c r="E892" s="32"/>
      <c r="F892" s="32"/>
      <c r="G892" s="32"/>
    </row>
    <row r="893" spans="1:7" ht="22.5" hidden="1" customHeight="1">
      <c r="A893" s="127"/>
      <c r="B893" s="32"/>
      <c r="C893" s="127"/>
      <c r="D893" s="32"/>
      <c r="E893" s="32"/>
      <c r="F893" s="32"/>
      <c r="G893" s="32"/>
    </row>
    <row r="894" spans="1:7" ht="22.5" hidden="1" customHeight="1">
      <c r="A894" s="127"/>
      <c r="B894" s="32"/>
      <c r="C894" s="127"/>
      <c r="D894" s="32"/>
      <c r="E894" s="32"/>
      <c r="F894" s="32"/>
      <c r="G894" s="32"/>
    </row>
    <row r="895" spans="1:7" ht="22.5" hidden="1" customHeight="1">
      <c r="A895" s="127"/>
      <c r="B895" s="32"/>
      <c r="C895" s="127"/>
      <c r="D895" s="32"/>
      <c r="E895" s="32"/>
      <c r="F895" s="32"/>
      <c r="G895" s="32"/>
    </row>
    <row r="896" spans="1:7" ht="22.5" hidden="1" customHeight="1">
      <c r="A896" s="127"/>
      <c r="B896" s="32"/>
      <c r="C896" s="127"/>
      <c r="D896" s="32"/>
      <c r="E896" s="32"/>
      <c r="F896" s="32"/>
      <c r="G896" s="32"/>
    </row>
    <row r="897" spans="1:7" ht="22.5" hidden="1" customHeight="1">
      <c r="A897" s="127"/>
      <c r="B897" s="32"/>
      <c r="C897" s="127"/>
      <c r="D897" s="32"/>
      <c r="E897" s="32"/>
      <c r="F897" s="32"/>
      <c r="G897" s="32"/>
    </row>
    <row r="898" spans="1:7" ht="22.5" hidden="1" customHeight="1">
      <c r="A898" s="127"/>
      <c r="B898" s="32"/>
      <c r="C898" s="127"/>
      <c r="D898" s="32"/>
      <c r="E898" s="32"/>
      <c r="F898" s="32"/>
      <c r="G898" s="32"/>
    </row>
    <row r="899" spans="1:7" ht="22.5" hidden="1" customHeight="1">
      <c r="A899" s="127"/>
      <c r="B899" s="32"/>
      <c r="C899" s="127"/>
      <c r="D899" s="32"/>
      <c r="E899" s="32"/>
      <c r="F899" s="32"/>
      <c r="G899" s="32"/>
    </row>
    <row r="900" spans="1:7" ht="22.5" hidden="1" customHeight="1">
      <c r="A900" s="127"/>
      <c r="B900" s="32"/>
      <c r="C900" s="127"/>
      <c r="D900" s="32"/>
      <c r="E900" s="32"/>
      <c r="F900" s="32"/>
      <c r="G900" s="32"/>
    </row>
    <row r="901" spans="1:7" ht="22.5" hidden="1" customHeight="1">
      <c r="A901" s="127"/>
      <c r="B901" s="32"/>
      <c r="C901" s="127"/>
      <c r="D901" s="32"/>
      <c r="E901" s="32"/>
      <c r="F901" s="32"/>
      <c r="G901" s="32"/>
    </row>
    <row r="902" spans="1:7" ht="22.5" hidden="1" customHeight="1">
      <c r="A902" s="127"/>
      <c r="B902" s="32"/>
      <c r="C902" s="127"/>
      <c r="D902" s="32"/>
      <c r="E902" s="32"/>
      <c r="F902" s="32"/>
      <c r="G902" s="32"/>
    </row>
    <row r="903" spans="1:7" ht="22.5" hidden="1" customHeight="1">
      <c r="A903" s="127"/>
      <c r="B903" s="32"/>
      <c r="C903" s="127"/>
      <c r="D903" s="32"/>
      <c r="E903" s="32"/>
      <c r="F903" s="32"/>
      <c r="G903" s="32"/>
    </row>
    <row r="904" spans="1:7" ht="22.5" hidden="1" customHeight="1">
      <c r="A904" s="127"/>
      <c r="B904" s="32"/>
      <c r="C904" s="127"/>
      <c r="D904" s="32"/>
      <c r="E904" s="32"/>
      <c r="F904" s="32"/>
      <c r="G904" s="32"/>
    </row>
    <row r="905" spans="1:7" ht="22.5" hidden="1" customHeight="1">
      <c r="A905" s="127"/>
      <c r="B905" s="32"/>
      <c r="C905" s="127"/>
      <c r="D905" s="32"/>
      <c r="E905" s="32"/>
      <c r="F905" s="32"/>
      <c r="G905" s="32"/>
    </row>
    <row r="906" spans="1:7" ht="22.5" hidden="1" customHeight="1">
      <c r="A906" s="127"/>
      <c r="B906" s="32"/>
      <c r="C906" s="127"/>
      <c r="D906" s="32"/>
      <c r="E906" s="32"/>
      <c r="F906" s="32"/>
      <c r="G906" s="32"/>
    </row>
    <row r="907" spans="1:7" ht="22.5" hidden="1" customHeight="1">
      <c r="A907" s="127"/>
      <c r="B907" s="32"/>
      <c r="C907" s="127"/>
      <c r="D907" s="32"/>
      <c r="E907" s="32"/>
      <c r="F907" s="32"/>
      <c r="G907" s="32"/>
    </row>
    <row r="908" spans="1:7" ht="22.5" hidden="1" customHeight="1">
      <c r="A908" s="127"/>
      <c r="B908" s="32"/>
      <c r="C908" s="127"/>
      <c r="D908" s="32"/>
      <c r="E908" s="32"/>
      <c r="F908" s="32"/>
      <c r="G908" s="32"/>
    </row>
    <row r="909" spans="1:7" ht="22.5" hidden="1" customHeight="1">
      <c r="A909" s="127"/>
      <c r="B909" s="32"/>
      <c r="C909" s="127"/>
      <c r="D909" s="32"/>
      <c r="E909" s="32"/>
      <c r="F909" s="32"/>
      <c r="G909" s="32"/>
    </row>
    <row r="910" spans="1:7" ht="22.5" hidden="1" customHeight="1">
      <c r="A910" s="127"/>
      <c r="B910" s="32"/>
      <c r="C910" s="127"/>
      <c r="D910" s="32"/>
      <c r="E910" s="32"/>
      <c r="F910" s="32"/>
      <c r="G910" s="32"/>
    </row>
    <row r="911" spans="1:7" ht="22.5" hidden="1" customHeight="1">
      <c r="A911" s="127"/>
      <c r="B911" s="32"/>
      <c r="C911" s="127"/>
      <c r="D911" s="32"/>
      <c r="E911" s="32"/>
      <c r="F911" s="32"/>
      <c r="G911" s="32"/>
    </row>
    <row r="912" spans="1:7" ht="22.5" hidden="1" customHeight="1">
      <c r="A912" s="127"/>
      <c r="B912" s="32"/>
      <c r="C912" s="127"/>
      <c r="D912" s="32"/>
      <c r="E912" s="32"/>
      <c r="F912" s="32"/>
      <c r="G912" s="32"/>
    </row>
    <row r="913" spans="1:7" ht="22.5" hidden="1" customHeight="1">
      <c r="A913" s="127"/>
      <c r="B913" s="32"/>
      <c r="C913" s="127"/>
      <c r="D913" s="32"/>
      <c r="E913" s="32"/>
      <c r="F913" s="32"/>
      <c r="G913" s="32"/>
    </row>
    <row r="914" spans="1:7" ht="22.5" hidden="1" customHeight="1">
      <c r="A914" s="127"/>
      <c r="B914" s="32"/>
      <c r="C914" s="127"/>
      <c r="D914" s="32"/>
      <c r="E914" s="32"/>
      <c r="F914" s="32"/>
      <c r="G914" s="32"/>
    </row>
    <row r="915" spans="1:7" ht="22.5" hidden="1" customHeight="1">
      <c r="A915" s="127"/>
      <c r="B915" s="32"/>
      <c r="C915" s="127"/>
      <c r="D915" s="32"/>
      <c r="E915" s="32"/>
      <c r="F915" s="32"/>
      <c r="G915" s="32"/>
    </row>
    <row r="916" spans="1:7" ht="22.5" hidden="1" customHeight="1">
      <c r="A916" s="127"/>
      <c r="B916" s="32"/>
      <c r="C916" s="127"/>
      <c r="D916" s="32"/>
      <c r="E916" s="32"/>
      <c r="F916" s="32"/>
      <c r="G916" s="32"/>
    </row>
    <row r="917" spans="1:7" ht="22.5" hidden="1" customHeight="1">
      <c r="A917" s="127"/>
      <c r="B917" s="32"/>
      <c r="C917" s="127"/>
      <c r="D917" s="32"/>
      <c r="E917" s="32"/>
      <c r="F917" s="32"/>
      <c r="G917" s="32"/>
    </row>
    <row r="918" spans="1:7" ht="22.5" hidden="1" customHeight="1">
      <c r="A918" s="127"/>
      <c r="B918" s="32"/>
      <c r="C918" s="127"/>
      <c r="D918" s="32"/>
      <c r="E918" s="32"/>
      <c r="F918" s="32"/>
      <c r="G918" s="32"/>
    </row>
    <row r="919" spans="1:7" ht="22.5" hidden="1" customHeight="1">
      <c r="A919" s="127"/>
      <c r="B919" s="32"/>
      <c r="C919" s="127"/>
      <c r="D919" s="32"/>
      <c r="E919" s="32"/>
      <c r="F919" s="32"/>
      <c r="G919" s="32"/>
    </row>
    <row r="920" spans="1:7" ht="22.5" hidden="1" customHeight="1">
      <c r="A920" s="127"/>
      <c r="B920" s="32"/>
      <c r="C920" s="127"/>
      <c r="D920" s="32"/>
      <c r="E920" s="32"/>
      <c r="F920" s="32"/>
      <c r="G920" s="32"/>
    </row>
    <row r="921" spans="1:7" ht="22.5" hidden="1" customHeight="1">
      <c r="A921" s="127"/>
      <c r="B921" s="32"/>
      <c r="C921" s="127"/>
      <c r="D921" s="32"/>
      <c r="E921" s="32"/>
      <c r="F921" s="32"/>
      <c r="G921" s="32"/>
    </row>
    <row r="922" spans="1:7" ht="22.5" hidden="1" customHeight="1">
      <c r="A922" s="127"/>
      <c r="B922" s="32"/>
      <c r="C922" s="127"/>
      <c r="D922" s="32"/>
      <c r="E922" s="32"/>
      <c r="F922" s="32"/>
      <c r="G922" s="32"/>
    </row>
    <row r="923" spans="1:7" ht="22.5" hidden="1" customHeight="1">
      <c r="A923" s="127"/>
      <c r="B923" s="32"/>
      <c r="C923" s="127"/>
      <c r="D923" s="32"/>
      <c r="E923" s="32"/>
      <c r="F923" s="32"/>
      <c r="G923" s="32"/>
    </row>
    <row r="924" spans="1:7" ht="22.5" hidden="1" customHeight="1">
      <c r="A924" s="127"/>
      <c r="B924" s="32"/>
      <c r="C924" s="127"/>
      <c r="D924" s="32"/>
      <c r="E924" s="32"/>
      <c r="F924" s="32"/>
      <c r="G924" s="32"/>
    </row>
    <row r="925" spans="1:7" ht="22.5" hidden="1" customHeight="1">
      <c r="A925" s="127"/>
      <c r="B925" s="32"/>
      <c r="C925" s="127"/>
      <c r="D925" s="32"/>
      <c r="E925" s="32"/>
      <c r="F925" s="32"/>
      <c r="G925" s="32"/>
    </row>
    <row r="926" spans="1:7" ht="22.5" hidden="1" customHeight="1">
      <c r="A926" s="127"/>
      <c r="B926" s="32"/>
      <c r="C926" s="127"/>
      <c r="D926" s="32"/>
      <c r="E926" s="32"/>
      <c r="F926" s="32"/>
      <c r="G926" s="32"/>
    </row>
    <row r="927" spans="1:7" ht="22.5" hidden="1" customHeight="1">
      <c r="A927" s="127"/>
      <c r="B927" s="32"/>
      <c r="C927" s="127"/>
      <c r="D927" s="32"/>
      <c r="E927" s="32"/>
      <c r="F927" s="32"/>
      <c r="G927" s="32"/>
    </row>
    <row r="928" spans="1:7" ht="22.5" hidden="1" customHeight="1">
      <c r="A928" s="127"/>
      <c r="B928" s="32"/>
      <c r="C928" s="127"/>
      <c r="D928" s="32"/>
      <c r="E928" s="32"/>
      <c r="F928" s="32"/>
      <c r="G928" s="32"/>
    </row>
    <row r="929" spans="1:7" ht="22.5" hidden="1" customHeight="1">
      <c r="A929" s="127"/>
      <c r="B929" s="32"/>
      <c r="C929" s="127"/>
      <c r="D929" s="32"/>
      <c r="E929" s="32"/>
      <c r="F929" s="32"/>
      <c r="G929" s="32"/>
    </row>
    <row r="930" spans="1:7" ht="22.5" hidden="1" customHeight="1">
      <c r="A930" s="127"/>
      <c r="B930" s="32"/>
      <c r="C930" s="127"/>
      <c r="D930" s="32"/>
      <c r="E930" s="32"/>
      <c r="F930" s="32"/>
      <c r="G930" s="32"/>
    </row>
    <row r="931" spans="1:7" ht="22.5" hidden="1" customHeight="1">
      <c r="A931" s="127"/>
      <c r="B931" s="32"/>
      <c r="C931" s="127"/>
      <c r="D931" s="32"/>
      <c r="E931" s="32"/>
      <c r="F931" s="32"/>
      <c r="G931" s="32"/>
    </row>
    <row r="932" spans="1:7" ht="22.5" hidden="1" customHeight="1">
      <c r="A932" s="127"/>
      <c r="B932" s="32"/>
      <c r="C932" s="127"/>
      <c r="D932" s="32"/>
      <c r="E932" s="32"/>
      <c r="F932" s="32"/>
      <c r="G932" s="32"/>
    </row>
    <row r="933" spans="1:7" ht="22.5" hidden="1" customHeight="1">
      <c r="A933" s="127"/>
      <c r="B933" s="32"/>
      <c r="C933" s="127"/>
      <c r="D933" s="32"/>
      <c r="E933" s="32"/>
      <c r="F933" s="32"/>
      <c r="G933" s="32"/>
    </row>
    <row r="934" spans="1:7" ht="22.5" hidden="1" customHeight="1">
      <c r="A934" s="127"/>
      <c r="B934" s="32"/>
      <c r="C934" s="127"/>
      <c r="D934" s="32"/>
      <c r="E934" s="32"/>
      <c r="F934" s="32"/>
      <c r="G934" s="32"/>
    </row>
    <row r="935" spans="1:7" ht="22.5" hidden="1" customHeight="1">
      <c r="A935" s="127"/>
      <c r="B935" s="32"/>
      <c r="C935" s="127"/>
      <c r="D935" s="32"/>
      <c r="E935" s="32"/>
      <c r="F935" s="32"/>
      <c r="G935" s="32"/>
    </row>
    <row r="936" spans="1:7" ht="22.5" hidden="1" customHeight="1">
      <c r="A936" s="127"/>
      <c r="B936" s="32"/>
      <c r="C936" s="127"/>
      <c r="D936" s="32"/>
      <c r="E936" s="32"/>
      <c r="F936" s="32"/>
      <c r="G936" s="32"/>
    </row>
    <row r="937" spans="1:7" ht="22.5" hidden="1" customHeight="1">
      <c r="A937" s="127"/>
      <c r="B937" s="32"/>
      <c r="C937" s="127"/>
      <c r="D937" s="32"/>
      <c r="E937" s="32"/>
      <c r="F937" s="32"/>
      <c r="G937" s="32"/>
    </row>
    <row r="938" spans="1:7" ht="22.5" hidden="1" customHeight="1">
      <c r="A938" s="127"/>
      <c r="B938" s="32"/>
      <c r="C938" s="127"/>
      <c r="D938" s="32"/>
      <c r="E938" s="32"/>
      <c r="F938" s="32"/>
      <c r="G938" s="32"/>
    </row>
    <row r="939" spans="1:7" ht="22.5" hidden="1" customHeight="1">
      <c r="A939" s="127"/>
      <c r="B939" s="32"/>
      <c r="C939" s="127"/>
      <c r="D939" s="32"/>
      <c r="E939" s="32"/>
      <c r="F939" s="32"/>
      <c r="G939" s="32"/>
    </row>
    <row r="940" spans="1:7" ht="22.5" hidden="1" customHeight="1">
      <c r="A940" s="127"/>
      <c r="B940" s="32"/>
      <c r="C940" s="127"/>
      <c r="D940" s="32"/>
      <c r="E940" s="32"/>
      <c r="F940" s="32"/>
      <c r="G940" s="32"/>
    </row>
    <row r="941" spans="1:7" ht="22.5" hidden="1" customHeight="1">
      <c r="A941" s="127"/>
      <c r="B941" s="32"/>
      <c r="C941" s="127"/>
      <c r="D941" s="32"/>
      <c r="E941" s="32"/>
      <c r="F941" s="32"/>
      <c r="G941" s="32"/>
    </row>
    <row r="942" spans="1:7" ht="22.5" hidden="1" customHeight="1">
      <c r="A942" s="127"/>
      <c r="B942" s="32"/>
      <c r="C942" s="127"/>
      <c r="D942" s="32"/>
      <c r="E942" s="32"/>
      <c r="F942" s="32"/>
      <c r="G942" s="32"/>
    </row>
    <row r="943" spans="1:7" ht="22.5" hidden="1" customHeight="1">
      <c r="A943" s="127"/>
      <c r="B943" s="32"/>
      <c r="C943" s="127"/>
      <c r="D943" s="32"/>
      <c r="E943" s="32"/>
      <c r="F943" s="32"/>
      <c r="G943" s="32"/>
    </row>
    <row r="944" spans="1:7" ht="22.5" hidden="1" customHeight="1">
      <c r="A944" s="127"/>
      <c r="B944" s="32"/>
      <c r="C944" s="127"/>
      <c r="D944" s="32"/>
      <c r="E944" s="32"/>
      <c r="F944" s="32"/>
      <c r="G944" s="32"/>
    </row>
    <row r="945" spans="1:7" ht="22.5" hidden="1" customHeight="1">
      <c r="A945" s="127"/>
      <c r="B945" s="32"/>
      <c r="C945" s="127"/>
      <c r="D945" s="32"/>
      <c r="E945" s="32"/>
      <c r="F945" s="32"/>
      <c r="G945" s="32"/>
    </row>
    <row r="946" spans="1:7" ht="22.5" hidden="1" customHeight="1">
      <c r="A946" s="127"/>
      <c r="B946" s="32"/>
      <c r="C946" s="127"/>
      <c r="D946" s="32"/>
      <c r="E946" s="32"/>
      <c r="F946" s="32"/>
      <c r="G946" s="32"/>
    </row>
    <row r="947" spans="1:7" ht="22.5" hidden="1" customHeight="1">
      <c r="A947" s="127"/>
      <c r="B947" s="32"/>
      <c r="C947" s="127"/>
      <c r="D947" s="32"/>
      <c r="E947" s="32"/>
      <c r="F947" s="32"/>
      <c r="G947" s="32"/>
    </row>
    <row r="948" spans="1:7" ht="22.5" hidden="1" customHeight="1">
      <c r="A948" s="127"/>
      <c r="B948" s="32"/>
      <c r="C948" s="127"/>
      <c r="D948" s="32"/>
      <c r="E948" s="32"/>
      <c r="F948" s="32"/>
      <c r="G948" s="32"/>
    </row>
    <row r="949" spans="1:7" ht="22.5" hidden="1" customHeight="1">
      <c r="A949" s="127"/>
      <c r="B949" s="32"/>
      <c r="C949" s="127"/>
      <c r="D949" s="32"/>
      <c r="E949" s="32"/>
      <c r="F949" s="32"/>
      <c r="G949" s="32"/>
    </row>
    <row r="950" spans="1:7" ht="22.5" hidden="1" customHeight="1">
      <c r="A950" s="127"/>
      <c r="B950" s="32"/>
      <c r="C950" s="127"/>
      <c r="D950" s="32"/>
      <c r="E950" s="32"/>
      <c r="F950" s="32"/>
      <c r="G950" s="32"/>
    </row>
    <row r="951" spans="1:7" ht="22.5" hidden="1" customHeight="1">
      <c r="A951" s="127"/>
      <c r="B951" s="32"/>
      <c r="C951" s="127"/>
      <c r="D951" s="32"/>
      <c r="E951" s="32"/>
      <c r="F951" s="32"/>
      <c r="G951" s="32"/>
    </row>
    <row r="952" spans="1:7" ht="22.5" hidden="1" customHeight="1">
      <c r="A952" s="127"/>
      <c r="B952" s="32"/>
      <c r="C952" s="127"/>
      <c r="D952" s="32"/>
      <c r="E952" s="32"/>
      <c r="F952" s="32"/>
      <c r="G952" s="32"/>
    </row>
    <row r="953" spans="1:7" ht="22.5" hidden="1" customHeight="1">
      <c r="A953" s="127"/>
      <c r="B953" s="32"/>
      <c r="C953" s="127"/>
      <c r="D953" s="32"/>
      <c r="E953" s="32"/>
      <c r="F953" s="32"/>
      <c r="G953" s="32"/>
    </row>
    <row r="954" spans="1:7" ht="22.5" hidden="1" customHeight="1">
      <c r="A954" s="127"/>
      <c r="B954" s="32"/>
      <c r="C954" s="127"/>
      <c r="D954" s="32"/>
      <c r="E954" s="32"/>
      <c r="F954" s="32"/>
      <c r="G954" s="32"/>
    </row>
    <row r="955" spans="1:7" ht="22.5" hidden="1" customHeight="1">
      <c r="A955" s="127"/>
      <c r="B955" s="32"/>
      <c r="C955" s="127"/>
      <c r="D955" s="32"/>
      <c r="E955" s="32"/>
      <c r="F955" s="32"/>
      <c r="G955" s="32"/>
    </row>
    <row r="956" spans="1:7" ht="22.5" hidden="1" customHeight="1">
      <c r="A956" s="127"/>
      <c r="B956" s="32"/>
      <c r="C956" s="127"/>
      <c r="D956" s="32"/>
      <c r="E956" s="32"/>
      <c r="F956" s="32"/>
      <c r="G956" s="32"/>
    </row>
    <row r="957" spans="1:7" ht="22.5" hidden="1" customHeight="1">
      <c r="A957" s="127"/>
      <c r="B957" s="32"/>
      <c r="C957" s="127"/>
      <c r="D957" s="32"/>
      <c r="E957" s="32"/>
      <c r="F957" s="32"/>
      <c r="G957" s="32"/>
    </row>
    <row r="958" spans="1:7" ht="22.5" hidden="1" customHeight="1">
      <c r="A958" s="127"/>
      <c r="B958" s="32"/>
      <c r="C958" s="127"/>
      <c r="D958" s="32"/>
      <c r="E958" s="32"/>
      <c r="F958" s="32"/>
      <c r="G958" s="32"/>
    </row>
    <row r="959" spans="1:7" ht="22.5" hidden="1" customHeight="1">
      <c r="A959" s="127"/>
      <c r="B959" s="32"/>
      <c r="C959" s="127"/>
      <c r="D959" s="32"/>
      <c r="E959" s="32"/>
      <c r="F959" s="32"/>
      <c r="G959" s="32"/>
    </row>
    <row r="960" spans="1:7" ht="22.5" hidden="1" customHeight="1">
      <c r="A960" s="127"/>
      <c r="B960" s="32"/>
      <c r="C960" s="127"/>
      <c r="D960" s="32"/>
      <c r="E960" s="32"/>
      <c r="F960" s="32"/>
      <c r="G960" s="32"/>
    </row>
    <row r="961" spans="1:7" ht="22.5" hidden="1" customHeight="1">
      <c r="A961" s="127"/>
      <c r="B961" s="32"/>
      <c r="C961" s="127"/>
      <c r="D961" s="32"/>
      <c r="E961" s="32"/>
      <c r="F961" s="32"/>
      <c r="G961" s="32"/>
    </row>
    <row r="962" spans="1:7" ht="22.5" hidden="1" customHeight="1">
      <c r="A962" s="127"/>
      <c r="B962" s="32"/>
      <c r="C962" s="127"/>
      <c r="D962" s="32"/>
      <c r="E962" s="32"/>
      <c r="F962" s="32"/>
      <c r="G962" s="32"/>
    </row>
    <row r="963" spans="1:7" ht="22.5" hidden="1" customHeight="1">
      <c r="A963" s="127"/>
      <c r="B963" s="32"/>
      <c r="C963" s="127"/>
      <c r="D963" s="32"/>
      <c r="E963" s="32"/>
      <c r="F963" s="32"/>
      <c r="G963" s="32"/>
    </row>
    <row r="964" spans="1:7" ht="22.5" hidden="1" customHeight="1">
      <c r="A964" s="127"/>
      <c r="B964" s="32"/>
      <c r="C964" s="127"/>
      <c r="D964" s="32"/>
      <c r="E964" s="32"/>
      <c r="F964" s="32"/>
      <c r="G964" s="32"/>
    </row>
    <row r="965" spans="1:7" ht="22.5" hidden="1" customHeight="1">
      <c r="A965" s="127"/>
      <c r="B965" s="32"/>
      <c r="C965" s="127"/>
      <c r="D965" s="32"/>
      <c r="E965" s="32"/>
      <c r="F965" s="32"/>
      <c r="G965" s="32"/>
    </row>
    <row r="966" spans="1:7" ht="22.5" hidden="1" customHeight="1">
      <c r="A966" s="127"/>
      <c r="B966" s="32"/>
      <c r="C966" s="127"/>
      <c r="D966" s="32"/>
      <c r="E966" s="32"/>
      <c r="F966" s="32"/>
      <c r="G966" s="32"/>
    </row>
    <row r="967" spans="1:7" ht="22.5" hidden="1" customHeight="1">
      <c r="A967" s="127"/>
      <c r="B967" s="32"/>
      <c r="C967" s="127"/>
      <c r="D967" s="32"/>
      <c r="E967" s="32"/>
      <c r="F967" s="32"/>
      <c r="G967" s="32"/>
    </row>
    <row r="968" spans="1:7" ht="22.5" hidden="1" customHeight="1">
      <c r="A968" s="127"/>
      <c r="B968" s="32"/>
      <c r="C968" s="127"/>
      <c r="D968" s="32"/>
      <c r="E968" s="32"/>
      <c r="F968" s="32"/>
      <c r="G968" s="32"/>
    </row>
    <row r="969" spans="1:7" ht="22.5" hidden="1" customHeight="1">
      <c r="A969" s="127"/>
      <c r="B969" s="32"/>
      <c r="C969" s="127"/>
      <c r="D969" s="32"/>
      <c r="E969" s="32"/>
      <c r="F969" s="32"/>
      <c r="G969" s="32"/>
    </row>
    <row r="970" spans="1:7" ht="22.5" hidden="1" customHeight="1">
      <c r="A970" s="127"/>
      <c r="B970" s="32"/>
      <c r="C970" s="127"/>
      <c r="D970" s="32"/>
      <c r="E970" s="32"/>
      <c r="F970" s="32"/>
      <c r="G970" s="32"/>
    </row>
    <row r="971" spans="1:7" ht="22.5" hidden="1" customHeight="1">
      <c r="A971" s="127"/>
      <c r="B971" s="32"/>
      <c r="C971" s="127"/>
      <c r="D971" s="32"/>
      <c r="E971" s="32"/>
      <c r="F971" s="32"/>
      <c r="G971" s="32"/>
    </row>
    <row r="972" spans="1:7" ht="22.5" hidden="1" customHeight="1">
      <c r="A972" s="127"/>
      <c r="B972" s="32"/>
      <c r="C972" s="127"/>
      <c r="D972" s="32"/>
      <c r="E972" s="32"/>
      <c r="F972" s="32"/>
      <c r="G972" s="32"/>
    </row>
    <row r="973" spans="1:7" ht="22.5" hidden="1" customHeight="1">
      <c r="A973" s="127"/>
      <c r="B973" s="32"/>
      <c r="C973" s="127"/>
      <c r="D973" s="32"/>
      <c r="E973" s="32"/>
      <c r="F973" s="32"/>
      <c r="G973" s="32"/>
    </row>
    <row r="974" spans="1:7" ht="22.5" hidden="1" customHeight="1">
      <c r="A974" s="127"/>
      <c r="B974" s="32"/>
      <c r="C974" s="127"/>
      <c r="D974" s="32"/>
      <c r="E974" s="32"/>
      <c r="F974" s="32"/>
      <c r="G974" s="32"/>
    </row>
    <row r="975" spans="1:7" ht="22.5" hidden="1" customHeight="1">
      <c r="A975" s="127"/>
      <c r="B975" s="32"/>
      <c r="C975" s="127"/>
      <c r="D975" s="32"/>
      <c r="E975" s="32"/>
      <c r="F975" s="32"/>
      <c r="G975" s="32"/>
    </row>
    <row r="976" spans="1:7" ht="22.5" hidden="1" customHeight="1">
      <c r="A976" s="127"/>
      <c r="B976" s="32"/>
      <c r="C976" s="127"/>
      <c r="D976" s="32"/>
      <c r="E976" s="32"/>
      <c r="F976" s="32"/>
      <c r="G976" s="32"/>
    </row>
    <row r="977" spans="1:7" ht="22.5" hidden="1" customHeight="1">
      <c r="A977" s="127"/>
      <c r="B977" s="32"/>
      <c r="C977" s="127"/>
      <c r="D977" s="32"/>
      <c r="E977" s="32"/>
      <c r="F977" s="32"/>
      <c r="G977" s="32"/>
    </row>
    <row r="978" spans="1:7" ht="22.5" hidden="1" customHeight="1">
      <c r="A978" s="127"/>
      <c r="B978" s="32"/>
      <c r="C978" s="127"/>
      <c r="D978" s="32"/>
      <c r="E978" s="32"/>
      <c r="F978" s="32"/>
      <c r="G978" s="32"/>
    </row>
    <row r="979" spans="1:7" ht="22.5" hidden="1" customHeight="1">
      <c r="A979" s="127"/>
      <c r="B979" s="32"/>
      <c r="C979" s="127"/>
      <c r="D979" s="32"/>
      <c r="E979" s="32"/>
      <c r="F979" s="32"/>
      <c r="G979" s="32"/>
    </row>
    <row r="980" spans="1:7" ht="22.5" hidden="1" customHeight="1">
      <c r="A980" s="127"/>
      <c r="B980" s="32"/>
      <c r="C980" s="127"/>
      <c r="D980" s="32"/>
      <c r="E980" s="32"/>
      <c r="F980" s="32"/>
      <c r="G980" s="32"/>
    </row>
    <row r="981" spans="1:7" ht="22.5" hidden="1" customHeight="1">
      <c r="A981" s="127"/>
      <c r="B981" s="32"/>
      <c r="C981" s="127"/>
      <c r="D981" s="32"/>
      <c r="E981" s="32"/>
      <c r="F981" s="32"/>
      <c r="G981" s="32"/>
    </row>
    <row r="982" spans="1:7" ht="22.5" hidden="1" customHeight="1">
      <c r="A982" s="127"/>
      <c r="B982" s="32"/>
      <c r="C982" s="127"/>
      <c r="D982" s="32"/>
      <c r="E982" s="32"/>
      <c r="F982" s="32"/>
      <c r="G982" s="32"/>
    </row>
    <row r="983" spans="1:7" ht="22.5" hidden="1" customHeight="1">
      <c r="A983" s="127"/>
      <c r="B983" s="32"/>
      <c r="C983" s="127"/>
      <c r="D983" s="32"/>
      <c r="E983" s="32"/>
      <c r="F983" s="32"/>
      <c r="G983" s="32"/>
    </row>
    <row r="984" spans="1:7" ht="22.5" hidden="1" customHeight="1">
      <c r="A984" s="127"/>
      <c r="B984" s="32"/>
      <c r="C984" s="127"/>
      <c r="D984" s="32"/>
      <c r="E984" s="32"/>
      <c r="F984" s="32"/>
      <c r="G984" s="32"/>
    </row>
    <row r="985" spans="1:7" ht="22.5" hidden="1" customHeight="1">
      <c r="A985" s="127"/>
      <c r="B985" s="32"/>
      <c r="C985" s="127"/>
      <c r="D985" s="32"/>
      <c r="E985" s="32"/>
      <c r="F985" s="32"/>
      <c r="G985" s="32"/>
    </row>
    <row r="986" spans="1:7" ht="22.5" hidden="1" customHeight="1">
      <c r="A986" s="127"/>
      <c r="B986" s="32"/>
      <c r="C986" s="127"/>
      <c r="D986" s="32"/>
      <c r="E986" s="32"/>
      <c r="F986" s="32"/>
      <c r="G986" s="32"/>
    </row>
    <row r="987" spans="1:7" ht="22.5" hidden="1" customHeight="1">
      <c r="A987" s="127"/>
      <c r="B987" s="32"/>
      <c r="C987" s="127"/>
      <c r="D987" s="32"/>
      <c r="E987" s="32"/>
      <c r="F987" s="32"/>
      <c r="G987" s="32"/>
    </row>
    <row r="988" spans="1:7" ht="22.5" hidden="1" customHeight="1">
      <c r="A988" s="127"/>
      <c r="B988" s="32"/>
      <c r="C988" s="127"/>
      <c r="D988" s="32"/>
      <c r="E988" s="32"/>
      <c r="F988" s="32"/>
      <c r="G988" s="32"/>
    </row>
    <row r="989" spans="1:7" ht="22.5" hidden="1" customHeight="1">
      <c r="A989" s="127"/>
      <c r="B989" s="32"/>
      <c r="C989" s="127"/>
      <c r="D989" s="32"/>
      <c r="E989" s="32"/>
      <c r="F989" s="32"/>
      <c r="G989" s="32"/>
    </row>
    <row r="990" spans="1:7" ht="22.5" hidden="1" customHeight="1">
      <c r="A990" s="127"/>
      <c r="B990" s="32"/>
      <c r="C990" s="127"/>
      <c r="D990" s="32"/>
      <c r="E990" s="32"/>
      <c r="F990" s="32"/>
      <c r="G990" s="32"/>
    </row>
    <row r="991" spans="1:7" ht="22.5" hidden="1" customHeight="1">
      <c r="A991" s="127"/>
      <c r="B991" s="32"/>
      <c r="C991" s="127"/>
      <c r="D991" s="32"/>
      <c r="E991" s="32"/>
      <c r="F991" s="32"/>
      <c r="G991" s="32"/>
    </row>
    <row r="992" spans="1:7" ht="22.5" hidden="1" customHeight="1">
      <c r="A992" s="127"/>
      <c r="B992" s="32"/>
      <c r="C992" s="127"/>
      <c r="D992" s="32"/>
      <c r="E992" s="32"/>
      <c r="F992" s="32"/>
      <c r="G992" s="32"/>
    </row>
    <row r="993" spans="1:7" ht="22.5" hidden="1" customHeight="1">
      <c r="A993" s="127"/>
      <c r="B993" s="32"/>
      <c r="C993" s="127"/>
      <c r="D993" s="32"/>
      <c r="E993" s="32"/>
      <c r="F993" s="32"/>
      <c r="G993" s="32"/>
    </row>
    <row r="994" spans="1:7" ht="22.5" hidden="1" customHeight="1">
      <c r="A994" s="127"/>
      <c r="B994" s="32"/>
      <c r="C994" s="127"/>
      <c r="D994" s="32"/>
      <c r="E994" s="32"/>
      <c r="F994" s="32"/>
      <c r="G994" s="32"/>
    </row>
    <row r="995" spans="1:7" ht="22.5" hidden="1" customHeight="1">
      <c r="A995" s="127"/>
      <c r="B995" s="32"/>
      <c r="C995" s="127"/>
      <c r="D995" s="32"/>
      <c r="E995" s="32"/>
      <c r="F995" s="32"/>
      <c r="G995" s="32"/>
    </row>
    <row r="996" spans="1:7" ht="22.5" hidden="1" customHeight="1">
      <c r="A996" s="127"/>
      <c r="B996" s="32"/>
      <c r="C996" s="127"/>
      <c r="D996" s="32"/>
      <c r="E996" s="32"/>
      <c r="F996" s="32"/>
      <c r="G996" s="32"/>
    </row>
  </sheetData>
  <dataValidations count="4">
    <dataValidation type="list" allowBlank="1" sqref="E2:E996" xr:uid="{00000000-0002-0000-0F00-000000000000}">
      <formula1>"High,Medium,Low"</formula1>
    </dataValidation>
    <dataValidation type="list" allowBlank="1" sqref="D2:D996" xr:uid="{00000000-0002-0000-0F00-000001000000}">
      <formula1>"Bug,Improvement,Question"</formula1>
    </dataValidation>
    <dataValidation allowBlank="1" showDropDown="1" sqref="A2:A996 C2:C996" xr:uid="{00000000-0002-0000-0F00-000002000000}"/>
    <dataValidation type="list" allowBlank="1" sqref="F2:F996" xr:uid="{00000000-0002-0000-0F00-000003000000}">
      <formula1>"Investigating,Dev's fixing,Won't Fix,Fixed,Bug logged,Bug to log"</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6AA84F"/>
    <outlinePr summaryBelow="0" summaryRight="0"/>
  </sheetPr>
  <dimension ref="A1:D24"/>
  <sheetViews>
    <sheetView workbookViewId="0">
      <pane ySplit="1" topLeftCell="A2" activePane="bottomLeft" state="frozen"/>
      <selection pane="bottomLeft" activeCell="B3" sqref="B3"/>
    </sheetView>
  </sheetViews>
  <sheetFormatPr defaultColWidth="12.59765625" defaultRowHeight="15" customHeight="1"/>
  <cols>
    <col min="1" max="1" width="48.3984375" customWidth="1"/>
    <col min="2" max="2" width="64.73046875" customWidth="1"/>
    <col min="3" max="3" width="56.86328125" customWidth="1"/>
  </cols>
  <sheetData>
    <row r="1" spans="1:3" ht="22.5" customHeight="1">
      <c r="A1" s="131" t="s">
        <v>783</v>
      </c>
      <c r="B1" s="132" t="s">
        <v>784</v>
      </c>
      <c r="C1" s="132" t="s">
        <v>785</v>
      </c>
    </row>
    <row r="2" spans="1:3" ht="22.5" customHeight="1">
      <c r="A2" s="133" t="s">
        <v>786</v>
      </c>
      <c r="B2" s="134" t="s">
        <v>20</v>
      </c>
      <c r="C2" s="135" t="s">
        <v>787</v>
      </c>
    </row>
    <row r="3" spans="1:3" ht="22.5" customHeight="1">
      <c r="A3" s="136" t="s">
        <v>788</v>
      </c>
      <c r="B3" s="137" t="s">
        <v>789</v>
      </c>
      <c r="C3" s="138" t="s">
        <v>790</v>
      </c>
    </row>
    <row r="4" spans="1:3" ht="22.5" customHeight="1">
      <c r="A4" s="136" t="s">
        <v>791</v>
      </c>
      <c r="B4" s="19" t="s">
        <v>792</v>
      </c>
      <c r="C4" s="139"/>
    </row>
    <row r="5" spans="1:3" ht="22.5" customHeight="1">
      <c r="A5" s="140"/>
      <c r="B5" s="19" t="s">
        <v>793</v>
      </c>
      <c r="C5" s="139"/>
    </row>
    <row r="6" spans="1:3" ht="22.5" customHeight="1">
      <c r="A6" s="141" t="s">
        <v>794</v>
      </c>
      <c r="B6" s="134" t="s">
        <v>19</v>
      </c>
      <c r="C6" s="139"/>
    </row>
    <row r="7" spans="1:3" ht="22.5" customHeight="1">
      <c r="A7" s="136" t="s">
        <v>795</v>
      </c>
      <c r="B7" s="19" t="s">
        <v>796</v>
      </c>
      <c r="C7" s="139"/>
    </row>
    <row r="8" spans="1:3" ht="22.5" customHeight="1">
      <c r="A8" s="140"/>
      <c r="B8" s="24"/>
      <c r="C8" s="139"/>
    </row>
    <row r="9" spans="1:3" ht="22.5" customHeight="1">
      <c r="A9" s="140"/>
      <c r="B9" s="24"/>
      <c r="C9" s="139"/>
    </row>
    <row r="10" spans="1:3" ht="22.5" customHeight="1">
      <c r="A10" s="141" t="s">
        <v>797</v>
      </c>
      <c r="B10" s="24"/>
      <c r="C10" s="139"/>
    </row>
    <row r="11" spans="1:3" ht="22.5" customHeight="1">
      <c r="A11" s="136" t="s">
        <v>798</v>
      </c>
      <c r="B11" s="24"/>
      <c r="C11" s="139"/>
    </row>
    <row r="12" spans="1:3" ht="22.5" customHeight="1">
      <c r="A12" s="140"/>
      <c r="B12" s="24"/>
      <c r="C12" s="139"/>
    </row>
    <row r="13" spans="1:3" ht="22.5" customHeight="1">
      <c r="A13" s="141" t="s">
        <v>799</v>
      </c>
      <c r="B13" s="24"/>
      <c r="C13" s="139"/>
    </row>
    <row r="14" spans="1:3" ht="22.5" customHeight="1">
      <c r="A14" s="136" t="s">
        <v>800</v>
      </c>
      <c r="B14" s="24"/>
      <c r="C14" s="139"/>
    </row>
    <row r="15" spans="1:3" ht="22.5" customHeight="1">
      <c r="A15" s="140"/>
      <c r="B15" s="32"/>
      <c r="C15" s="127"/>
    </row>
    <row r="16" spans="1:3" ht="22.5" customHeight="1">
      <c r="A16" s="140"/>
      <c r="B16" s="32"/>
      <c r="C16" s="127"/>
    </row>
    <row r="17" spans="1:4" ht="22.5" customHeight="1">
      <c r="A17" s="140"/>
      <c r="B17" s="32"/>
      <c r="C17" s="127"/>
    </row>
    <row r="18" spans="1:4" ht="22.5" customHeight="1">
      <c r="A18" s="140"/>
      <c r="B18" s="32"/>
      <c r="C18" s="127"/>
      <c r="D18" s="142"/>
    </row>
    <row r="19" spans="1:4" ht="22.5" customHeight="1">
      <c r="A19" s="140"/>
      <c r="B19" s="32"/>
      <c r="C19" s="127"/>
    </row>
    <row r="20" spans="1:4" ht="22.5" customHeight="1">
      <c r="A20" s="140"/>
      <c r="B20" s="32"/>
      <c r="C20" s="127"/>
    </row>
    <row r="21" spans="1:4" ht="22.5" customHeight="1">
      <c r="A21" s="140"/>
      <c r="B21" s="32"/>
      <c r="C21" s="127"/>
    </row>
    <row r="22" spans="1:4" ht="22.5" customHeight="1">
      <c r="A22" s="140"/>
      <c r="B22" s="32"/>
      <c r="C22" s="127"/>
    </row>
    <row r="23" spans="1:4" ht="22.5" customHeight="1">
      <c r="A23" s="140"/>
      <c r="B23" s="32"/>
      <c r="C23" s="127"/>
    </row>
    <row r="24" spans="1:4" ht="22.5" customHeight="1">
      <c r="A24" s="140"/>
      <c r="B24" s="32"/>
      <c r="C24" s="127"/>
    </row>
  </sheetData>
  <dataValidations count="1">
    <dataValidation allowBlank="1" showDropDown="1" sqref="C2:C24" xr:uid="{00000000-0002-0000-1000-000000000000}"/>
  </dataValidations>
  <hyperlinks>
    <hyperlink ref="B3" r:id="rId1" xr:uid="{00000000-0004-0000-1000-000000000000}"/>
    <hyperlink ref="B4" r:id="rId2" xr:uid="{00000000-0004-0000-1000-000001000000}"/>
    <hyperlink ref="B5" r:id="rId3" xr:uid="{00000000-0004-0000-1000-000002000000}"/>
    <hyperlink ref="B7" r:id="rId4" xr:uid="{00000000-0004-0000-1000-000003000000}"/>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Dashboard</vt:lpstr>
      <vt:lpstr>TP Index</vt:lpstr>
      <vt:lpstr>Smoke suite status</vt:lpstr>
      <vt:lpstr>Core Stats</vt:lpstr>
      <vt:lpstr>Games</vt:lpstr>
      <vt:lpstr>Games BO</vt:lpstr>
      <vt:lpstr>Games_GCSC</vt:lpstr>
      <vt:lpstr>Issue tracker</vt:lpstr>
      <vt:lpstr>Test CardsBank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 Blackman</dc:creator>
  <cp:lastModifiedBy>Tre' Blackman</cp:lastModifiedBy>
  <dcterms:created xsi:type="dcterms:W3CDTF">2026-01-07T04:48:26Z</dcterms:created>
  <dcterms:modified xsi:type="dcterms:W3CDTF">2026-01-07T04:51:37Z</dcterms:modified>
</cp:coreProperties>
</file>